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Cover &amp; Instructions" sheetId="1" r:id="rId1"/>
    <sheet name="Dashboard" sheetId="2" r:id="rId2"/>
    <sheet name="KRA H - Health Service Deliver" sheetId="3" r:id="rId3"/>
    <sheet name="KRA E - Education Attendance &amp;" sheetId="4" r:id="rId4"/>
    <sheet name="KRA A - Anganwadi &amp; ECCE" sheetId="5" r:id="rId5"/>
    <sheet name="KRA D - Drug Demand-Reduction " sheetId="6" r:id="rId6"/>
    <sheet name="KRA S - Sanitation, Cleanlines" sheetId="7" r:id="rId7"/>
    <sheet name="KRA I - Infrastructure, Roads " sheetId="8" r:id="rId8"/>
    <sheet name="KRA W - Power" sheetId="9" r:id="rId9"/>
    <sheet name="KRA L - Law &amp; Order, Public Sa" sheetId="10" r:id="rId10"/>
    <sheet name="KRA G - Agriculture, Horticult" sheetId="11" r:id="rId11"/>
    <sheet name="KRA C - Convergence &amp; Saturati" sheetId="12" r:id="rId12"/>
    <sheet name="KRA R - Revenue, Land &amp; Citize" sheetId="13" r:id="rId13"/>
    <sheet name="KRA J - Jan Suvidha Branch" sheetId="14" r:id="rId14"/>
    <sheet name="KRA M - Disaster Management &amp; " sheetId="15" r:id="rId15"/>
    <sheet name="KRA P - Process, People &amp; Citi" sheetId="16" r:id="rId16"/>
    <sheet name="Trends" sheetId="17" r:id="rId17"/>
    <sheet name="Action Tracker" sheetId="18" r:id="rId18"/>
    <sheet name="Officer Directory" sheetId="19" r:id="rId19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8" i="17"/>
  <c r="M18"/>
  <c r="L18"/>
  <c r="K18"/>
  <c r="J18"/>
  <c r="I18"/>
  <c r="H18"/>
  <c r="G18"/>
  <c r="F18"/>
  <c r="E18"/>
  <c r="D18"/>
  <c r="C18"/>
  <c r="N17"/>
  <c r="M17"/>
  <c r="L17"/>
  <c r="K17"/>
  <c r="J17"/>
  <c r="I17"/>
  <c r="H17"/>
  <c r="G17"/>
  <c r="F17"/>
  <c r="E17"/>
  <c r="D17"/>
  <c r="C17"/>
  <c r="N16"/>
  <c r="M16"/>
  <c r="L16"/>
  <c r="K16"/>
  <c r="J16"/>
  <c r="I16"/>
  <c r="H16"/>
  <c r="G16"/>
  <c r="F16"/>
  <c r="E16"/>
  <c r="D16"/>
  <c r="C16"/>
  <c r="N15"/>
  <c r="M15"/>
  <c r="L15"/>
  <c r="K15"/>
  <c r="J15"/>
  <c r="I15"/>
  <c r="H15"/>
  <c r="G15"/>
  <c r="F15"/>
  <c r="E15"/>
  <c r="D15"/>
  <c r="C15"/>
  <c r="N14"/>
  <c r="M14"/>
  <c r="L14"/>
  <c r="K14"/>
  <c r="J14"/>
  <c r="I14"/>
  <c r="H14"/>
  <c r="G14"/>
  <c r="F14"/>
  <c r="E14"/>
  <c r="D14"/>
  <c r="C14"/>
  <c r="N13"/>
  <c r="M13"/>
  <c r="L13"/>
  <c r="K13"/>
  <c r="J13"/>
  <c r="I13"/>
  <c r="H13"/>
  <c r="G13"/>
  <c r="F13"/>
  <c r="E13"/>
  <c r="D13"/>
  <c r="C13"/>
  <c r="N12"/>
  <c r="M12"/>
  <c r="L12"/>
  <c r="K12"/>
  <c r="J12"/>
  <c r="I12"/>
  <c r="H12"/>
  <c r="G12"/>
  <c r="F12"/>
  <c r="E12"/>
  <c r="D12"/>
  <c r="C12"/>
  <c r="N11"/>
  <c r="M11"/>
  <c r="L11"/>
  <c r="K11"/>
  <c r="J11"/>
  <c r="I11"/>
  <c r="H11"/>
  <c r="G11"/>
  <c r="F11"/>
  <c r="E11"/>
  <c r="D11"/>
  <c r="C11"/>
  <c r="N10"/>
  <c r="M10"/>
  <c r="L10"/>
  <c r="K10"/>
  <c r="J10"/>
  <c r="I10"/>
  <c r="H10"/>
  <c r="G10"/>
  <c r="F10"/>
  <c r="E10"/>
  <c r="D10"/>
  <c r="C10"/>
  <c r="N9"/>
  <c r="M9"/>
  <c r="L9"/>
  <c r="K9"/>
  <c r="J9"/>
  <c r="I9"/>
  <c r="H9"/>
  <c r="G9"/>
  <c r="F9"/>
  <c r="E9"/>
  <c r="D9"/>
  <c r="C9"/>
  <c r="N8"/>
  <c r="M8"/>
  <c r="L8"/>
  <c r="K8"/>
  <c r="J8"/>
  <c r="I8"/>
  <c r="H8"/>
  <c r="G8"/>
  <c r="F8"/>
  <c r="E8"/>
  <c r="D8"/>
  <c r="C8"/>
  <c r="N7"/>
  <c r="M7"/>
  <c r="L7"/>
  <c r="K7"/>
  <c r="J7"/>
  <c r="I7"/>
  <c r="H7"/>
  <c r="G7"/>
  <c r="F7"/>
  <c r="E7"/>
  <c r="D7"/>
  <c r="C7"/>
  <c r="N6"/>
  <c r="M6"/>
  <c r="L6"/>
  <c r="K6"/>
  <c r="J6"/>
  <c r="I6"/>
  <c r="H6"/>
  <c r="G6"/>
  <c r="F6"/>
  <c r="E6"/>
  <c r="D6"/>
  <c r="C6"/>
  <c r="N5"/>
  <c r="M5"/>
  <c r="L5"/>
  <c r="K5"/>
  <c r="J5"/>
  <c r="I5"/>
  <c r="H5"/>
  <c r="G5"/>
  <c r="F5"/>
  <c r="E5"/>
  <c r="D5"/>
  <c r="C5"/>
  <c r="T14" i="16"/>
  <c r="U14" s="1"/>
  <c r="V14" s="1"/>
  <c r="T13"/>
  <c r="U13" s="1"/>
  <c r="V13" s="1"/>
  <c r="T12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0" i="15"/>
  <c r="U10" s="1"/>
  <c r="V10" s="1"/>
  <c r="T9"/>
  <c r="U9" s="1"/>
  <c r="V9" s="1"/>
  <c r="T8"/>
  <c r="U8" s="1"/>
  <c r="V8" s="1"/>
  <c r="T7"/>
  <c r="U7" s="1"/>
  <c r="V7" s="1"/>
  <c r="U6"/>
  <c r="V6" s="1"/>
  <c r="T5"/>
  <c r="U5" s="1"/>
  <c r="T16" i="14"/>
  <c r="U16" s="1"/>
  <c r="V16" s="1"/>
  <c r="T15"/>
  <c r="U15" s="1"/>
  <c r="V15" s="1"/>
  <c r="T14"/>
  <c r="U14" s="1"/>
  <c r="V14" s="1"/>
  <c r="T13"/>
  <c r="U13" s="1"/>
  <c r="V13" s="1"/>
  <c r="T12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9" i="13"/>
  <c r="U9" s="1"/>
  <c r="V9" s="1"/>
  <c r="T8"/>
  <c r="U8" s="1"/>
  <c r="V8" s="1"/>
  <c r="T7"/>
  <c r="U7" s="1"/>
  <c r="V7" s="1"/>
  <c r="T6"/>
  <c r="U6" s="1"/>
  <c r="V6" s="1"/>
  <c r="T5"/>
  <c r="U5" s="1"/>
  <c r="T12" i="12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4" i="11"/>
  <c r="U14" s="1"/>
  <c r="V14" s="1"/>
  <c r="T13"/>
  <c r="U13" s="1"/>
  <c r="V13" s="1"/>
  <c r="T12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2" i="10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4" i="9"/>
  <c r="U14" s="1"/>
  <c r="V14" s="1"/>
  <c r="T13"/>
  <c r="U13" s="1"/>
  <c r="V13" s="1"/>
  <c r="T12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2" i="8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0" i="7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2" i="6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3" i="5"/>
  <c r="U13" s="1"/>
  <c r="V13" s="1"/>
  <c r="T12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6" i="4"/>
  <c r="U16" s="1"/>
  <c r="V16" s="1"/>
  <c r="T15"/>
  <c r="U15" s="1"/>
  <c r="V15" s="1"/>
  <c r="T14"/>
  <c r="U14" s="1"/>
  <c r="V14" s="1"/>
  <c r="T13"/>
  <c r="U13" s="1"/>
  <c r="V13" s="1"/>
  <c r="T12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T16" i="3"/>
  <c r="U16" s="1"/>
  <c r="V16" s="1"/>
  <c r="T15"/>
  <c r="U15" s="1"/>
  <c r="V15" s="1"/>
  <c r="T14"/>
  <c r="U14" s="1"/>
  <c r="V14" s="1"/>
  <c r="T13"/>
  <c r="U13" s="1"/>
  <c r="V13" s="1"/>
  <c r="T12"/>
  <c r="U12" s="1"/>
  <c r="V12" s="1"/>
  <c r="T11"/>
  <c r="U11" s="1"/>
  <c r="V11" s="1"/>
  <c r="T10"/>
  <c r="U10" s="1"/>
  <c r="V10" s="1"/>
  <c r="T9"/>
  <c r="U9" s="1"/>
  <c r="V9" s="1"/>
  <c r="T8"/>
  <c r="U8" s="1"/>
  <c r="V8" s="1"/>
  <c r="T7"/>
  <c r="U7" s="1"/>
  <c r="V7" s="1"/>
  <c r="T6"/>
  <c r="U6" s="1"/>
  <c r="V6" s="1"/>
  <c r="T5"/>
  <c r="U5" s="1"/>
  <c r="L23" i="2"/>
  <c r="L22"/>
  <c r="L21"/>
  <c r="L20"/>
  <c r="L19"/>
  <c r="L18"/>
  <c r="L17"/>
  <c r="L16"/>
  <c r="L15"/>
  <c r="L14"/>
  <c r="L13"/>
  <c r="L12"/>
  <c r="L11"/>
  <c r="L10"/>
  <c r="W10" i="4" l="1"/>
  <c r="W11" i="11"/>
  <c r="W7" i="8"/>
  <c r="W9" i="13"/>
  <c r="W13" i="9"/>
  <c r="W12" i="5"/>
  <c r="W11" i="12"/>
  <c r="W8" i="15"/>
  <c r="W5" i="9"/>
  <c r="W16" i="4"/>
  <c r="W13" i="11"/>
  <c r="W10" i="14"/>
  <c r="W8" i="3"/>
  <c r="W7" i="6"/>
  <c r="W5" i="11"/>
  <c r="W14" i="14"/>
  <c r="W8" i="4"/>
  <c r="W5" i="8"/>
  <c r="W5" i="10"/>
  <c r="W6" i="3"/>
  <c r="W12"/>
  <c r="W5" i="6"/>
  <c r="W11"/>
  <c r="W8" i="16"/>
  <c r="W12" i="4"/>
  <c r="W9" i="8"/>
  <c r="W7" i="9"/>
  <c r="W6" i="14"/>
  <c r="W12"/>
  <c r="W16" i="3"/>
  <c r="W8" i="5"/>
  <c r="W7" i="7"/>
  <c r="W9" i="9"/>
  <c r="W7" i="11"/>
  <c r="W5" i="13"/>
  <c r="W16" i="14"/>
  <c r="W14" i="16"/>
  <c r="W10" i="3"/>
  <c r="W14" i="4"/>
  <c r="W9" i="6"/>
  <c r="W11" i="8"/>
  <c r="W9" i="10"/>
  <c r="W7" i="12"/>
  <c r="W14" i="3"/>
  <c r="W6" i="5"/>
  <c r="W5" i="7"/>
  <c r="W12" i="16"/>
  <c r="W7" i="10"/>
  <c r="W5" i="12"/>
  <c r="W8" i="14"/>
  <c r="W6" i="16"/>
  <c r="W6" i="4"/>
  <c r="W10" i="5"/>
  <c r="W9" i="7"/>
  <c r="W11" i="9"/>
  <c r="W9" i="11"/>
  <c r="W7" i="13"/>
  <c r="W6" i="15"/>
  <c r="W11" i="10"/>
  <c r="W9" i="12"/>
  <c r="W10" i="16"/>
  <c r="W10" i="15"/>
  <c r="J17" i="2"/>
  <c r="K17" s="1"/>
  <c r="M17"/>
  <c r="V5" i="10"/>
  <c r="I17" i="2"/>
  <c r="V5" i="3"/>
  <c r="M10" i="2"/>
  <c r="J10"/>
  <c r="I10"/>
  <c r="M20"/>
  <c r="V5" i="13"/>
  <c r="I20" i="2"/>
  <c r="J20"/>
  <c r="K20" s="1"/>
  <c r="V5" i="14"/>
  <c r="M21" i="2"/>
  <c r="I21"/>
  <c r="J21"/>
  <c r="K21" s="1"/>
  <c r="M13"/>
  <c r="J13"/>
  <c r="K13" s="1"/>
  <c r="I13"/>
  <c r="V5" i="6"/>
  <c r="M15" i="2"/>
  <c r="J15"/>
  <c r="K15" s="1"/>
  <c r="V5" i="8"/>
  <c r="I15" i="2"/>
  <c r="M14"/>
  <c r="V5" i="7"/>
  <c r="I14" i="2"/>
  <c r="J14"/>
  <c r="K14" s="1"/>
  <c r="M18"/>
  <c r="V5" i="11"/>
  <c r="I18" i="2"/>
  <c r="J18"/>
  <c r="K18" s="1"/>
  <c r="J12"/>
  <c r="K12" s="1"/>
  <c r="V5" i="5"/>
  <c r="M12" i="2"/>
  <c r="I12"/>
  <c r="M19"/>
  <c r="J19"/>
  <c r="K19" s="1"/>
  <c r="V5" i="12"/>
  <c r="I19" i="2"/>
  <c r="V5" i="16"/>
  <c r="M23" i="2"/>
  <c r="J23"/>
  <c r="K23" s="1"/>
  <c r="I23"/>
  <c r="V5" i="4"/>
  <c r="M11" i="2"/>
  <c r="I11"/>
  <c r="J11"/>
  <c r="K11" s="1"/>
  <c r="M16"/>
  <c r="J16"/>
  <c r="K16" s="1"/>
  <c r="V5" i="9"/>
  <c r="I16" i="2"/>
  <c r="J22"/>
  <c r="K22" s="1"/>
  <c r="V5" i="15"/>
  <c r="M22" i="2"/>
  <c r="I22"/>
  <c r="W5" i="3"/>
  <c r="W7"/>
  <c r="W9"/>
  <c r="W11"/>
  <c r="W13"/>
  <c r="W15"/>
  <c r="W5" i="4"/>
  <c r="W7"/>
  <c r="W9"/>
  <c r="W11"/>
  <c r="W13"/>
  <c r="W15"/>
  <c r="W5" i="5"/>
  <c r="W7"/>
  <c r="W9"/>
  <c r="W11"/>
  <c r="W13"/>
  <c r="W6" i="6"/>
  <c r="W8"/>
  <c r="W10"/>
  <c r="W12"/>
  <c r="W6" i="7"/>
  <c r="W8"/>
  <c r="W10"/>
  <c r="W6" i="8"/>
  <c r="W8"/>
  <c r="W10"/>
  <c r="W12"/>
  <c r="W6" i="9"/>
  <c r="W8"/>
  <c r="W10"/>
  <c r="W12"/>
  <c r="W14"/>
  <c r="W6" i="10"/>
  <c r="W8"/>
  <c r="W10"/>
  <c r="W12"/>
  <c r="W6" i="11"/>
  <c r="W8"/>
  <c r="W10"/>
  <c r="W12"/>
  <c r="W14"/>
  <c r="W6" i="12"/>
  <c r="W8"/>
  <c r="W10"/>
  <c r="W12"/>
  <c r="W6" i="13"/>
  <c r="W8"/>
  <c r="W5" i="14"/>
  <c r="W7"/>
  <c r="W9"/>
  <c r="W11"/>
  <c r="W13"/>
  <c r="W15"/>
  <c r="W5" i="15"/>
  <c r="W7"/>
  <c r="W9"/>
  <c r="W5" i="16"/>
  <c r="W7"/>
  <c r="W9"/>
  <c r="W11"/>
  <c r="W13"/>
  <c r="F23" i="2" l="1"/>
  <c r="G23"/>
  <c r="H23"/>
  <c r="F12"/>
  <c r="G12"/>
  <c r="H12"/>
  <c r="F14"/>
  <c r="G14"/>
  <c r="H14"/>
  <c r="F20"/>
  <c r="G20"/>
  <c r="H20"/>
  <c r="F16"/>
  <c r="G16"/>
  <c r="H16"/>
  <c r="F17"/>
  <c r="G17"/>
  <c r="H17"/>
  <c r="F13"/>
  <c r="G13"/>
  <c r="H13"/>
  <c r="F11"/>
  <c r="G11"/>
  <c r="H11"/>
  <c r="F21"/>
  <c r="G21"/>
  <c r="H21"/>
  <c r="F10"/>
  <c r="G10"/>
  <c r="H10"/>
  <c r="F22"/>
  <c r="G22"/>
  <c r="H22"/>
  <c r="F18"/>
  <c r="G18"/>
  <c r="H18"/>
  <c r="F19"/>
  <c r="G19"/>
  <c r="H19"/>
  <c r="F15"/>
  <c r="G15"/>
  <c r="H15"/>
  <c r="K10"/>
  <c r="J24"/>
  <c r="K24" l="1"/>
  <c r="A5"/>
  <c r="D5"/>
  <c r="F24"/>
  <c r="F5"/>
  <c r="H24"/>
  <c r="E5"/>
  <c r="G24"/>
</calcChain>
</file>

<file path=xl/comments1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DMO
Data Source: Monthly unannounced audit by DC office team</t>
        </r>
      </text>
    </comment>
    <comment ref="B6" authorId="0">
      <text>
        <r>
          <rPr>
            <sz val="10"/>
            <rFont val="Arial"/>
            <family val="2"/>
          </rPr>
          <t>Owner: MO (MCH)
Data Source: HMIS + ANM register</t>
        </r>
      </text>
    </comment>
    <comment ref="B7" authorId="0">
      <text>
        <r>
          <rPr>
            <sz val="10"/>
            <rFont val="Arial"/>
            <family val="2"/>
          </rPr>
          <t>Owner: MO (Immunisation)
Data Source: HMIS + UWIN portal</t>
        </r>
      </text>
    </comment>
    <comment ref="B8" authorId="0">
      <text>
        <r>
          <rPr>
            <sz val="10"/>
            <rFont val="Arial"/>
            <family val="2"/>
          </rPr>
          <t>Owner: MO (Tele-Health)
Data Source: eSanjeevani portal</t>
        </r>
      </text>
    </comment>
    <comment ref="B9" authorId="0">
      <text>
        <r>
          <rPr>
            <sz val="10"/>
            <rFont val="Arial"/>
            <family val="2"/>
          </rPr>
          <t>Owner: MO (MCH)
Data Source: HMIS</t>
        </r>
      </text>
    </comment>
    <comment ref="B10" authorId="0">
      <text>
        <r>
          <rPr>
            <sz val="10"/>
            <rFont val="Arial"/>
            <family val="2"/>
          </rPr>
          <t>Owner: MO (PMJAY Nodal)
Data Source: PMJAY portal + ANM verification</t>
        </r>
      </text>
    </comment>
    <comment ref="B11" authorId="0">
      <text>
        <r>
          <rPr>
            <sz val="10"/>
            <rFont val="Arial"/>
            <family val="2"/>
          </rPr>
          <t>Owner: DMO
Data Source: PHC drug register</t>
        </r>
      </text>
    </comment>
    <comment ref="B12" authorId="0">
      <text>
        <r>
          <rPr>
            <sz val="10"/>
            <rFont val="Arial"/>
            <family val="2"/>
          </rPr>
          <t>Owner: DMHP Nodal Officer
Data Source: OST centre register + DMHP</t>
        </r>
      </text>
    </comment>
    <comment ref="B13" authorId="0">
      <text>
        <r>
          <rPr>
            <sz val="10"/>
            <rFont val="Arial"/>
            <family val="2"/>
          </rPr>
          <t>Owner: De-addiction Hub Lead
Data Source: Hub patient records</t>
        </r>
      </text>
    </comment>
    <comment ref="B14" authorId="0">
      <text>
        <r>
          <rPr>
            <sz val="10"/>
            <rFont val="Arial"/>
            <family val="2"/>
          </rPr>
          <t>Owner: DTO
Data Source: Ni-kshay portal</t>
        </r>
      </text>
    </comment>
    <comment ref="B15" authorId="0">
      <text>
        <r>
          <rPr>
            <sz val="10"/>
            <rFont val="Arial"/>
            <family val="2"/>
          </rPr>
          <t>Owner: DMO
Data Source: MDR + facility reports</t>
        </r>
      </text>
    </comment>
    <comment ref="B16" authorId="0">
      <text>
        <r>
          <rPr>
            <sz val="10"/>
            <rFont val="Arial"/>
            <family val="2"/>
          </rPr>
          <t>Owner: DMO
Data Source: CRS + facility reports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BEEOs (3 blocks)
Data Source: Biometric / GB-witnessed register</t>
        </r>
      </text>
    </comment>
    <comment ref="B6" authorId="0">
      <text>
        <r>
          <rPr>
            <sz val="10"/>
            <rFont val="Arial"/>
            <family val="2"/>
          </rPr>
          <t>Owner: School Principals
Data Source: School register + GB monthly attestation</t>
        </r>
      </text>
    </comment>
    <comment ref="B7" authorId="0">
      <text>
        <r>
          <rPr>
            <sz val="10"/>
            <rFont val="Arial"/>
            <family val="2"/>
          </rPr>
          <t>Owner: DDSE + DIET
Data Source: Termly ASER-style assessment</t>
        </r>
      </text>
    </comment>
    <comment ref="B8" authorId="0">
      <text>
        <r>
          <rPr>
            <sz val="10"/>
            <rFont val="Arial"/>
            <family val="2"/>
          </rPr>
          <t>Owner: DDSE + DIET
Data Source: Termly ASER-style assessment</t>
        </r>
      </text>
    </comment>
    <comment ref="B9" authorId="0">
      <text>
        <r>
          <rPr>
            <sz val="10"/>
            <rFont val="Arial"/>
            <family val="2"/>
          </rPr>
          <t>Owner: DDSE (Infra cell)
Data Source: PWD + School HM joint check</t>
        </r>
      </text>
    </comment>
    <comment ref="B10" authorId="0">
      <text>
        <r>
          <rPr>
            <sz val="10"/>
            <rFont val="Arial"/>
            <family val="2"/>
          </rPr>
          <t>Owner: DDSE (Infra cell)
Data Source: JJM + School HM</t>
        </r>
      </text>
    </comment>
    <comment ref="B11" authorId="0">
      <text>
        <r>
          <rPr>
            <sz val="10"/>
            <rFont val="Arial"/>
            <family val="2"/>
          </rPr>
          <t>Owner: DDSE
Data Source: AP State Board results</t>
        </r>
      </text>
    </comment>
    <comment ref="B12" authorId="0">
      <text>
        <r>
          <rPr>
            <sz val="10"/>
            <rFont val="Arial"/>
            <family val="2"/>
          </rPr>
          <t>Owner: DDSE
Data Source: AP State Board results</t>
        </r>
      </text>
    </comment>
    <comment ref="B13" authorId="0">
      <text>
        <r>
          <rPr>
            <sz val="10"/>
            <rFont val="Arial"/>
            <family val="2"/>
          </rPr>
          <t>Owner: BEEOs
Data Source: Bal Vatika / RTE register</t>
        </r>
      </text>
    </comment>
    <comment ref="B14" authorId="0">
      <text>
        <r>
          <rPr>
            <sz val="10"/>
            <rFont val="Arial"/>
            <family val="2"/>
          </rPr>
          <t>Owner: DIET
Data Source: DIET register</t>
        </r>
      </text>
    </comment>
    <comment ref="B15" authorId="0">
      <text>
        <r>
          <rPr>
            <sz val="10"/>
            <rFont val="Arial"/>
            <family val="2"/>
          </rPr>
          <t>Owner: DDSE (MDM cell)
Data Source: MDM portal + HM certification</t>
        </r>
      </text>
    </comment>
    <comment ref="B16" authorId="0">
      <text>
        <r>
          <rPr>
            <sz val="10"/>
            <rFont val="Arial"/>
            <family val="2"/>
          </rPr>
          <t>Owner: EMRS Principal
Data Source: Hostel register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DPO (ICDS)
Data Source: Unannounced CDPO/DPO visits</t>
        </r>
      </text>
    </comment>
    <comment ref="B6" authorId="0">
      <text>
        <r>
          <rPr>
            <sz val="10"/>
            <rFont val="Arial"/>
            <family val="2"/>
          </rPr>
          <t>Owner: CDPOs
Data Source: POSHAN / ICDS-e portal</t>
        </r>
      </text>
    </comment>
    <comment ref="B7" authorId="0">
      <text>
        <r>
          <rPr>
            <sz val="10"/>
            <rFont val="Arial"/>
            <family val="2"/>
          </rPr>
          <t>Owner: CDPOs
Data Source: AWW register + Mahila Mandal report</t>
        </r>
      </text>
    </comment>
    <comment ref="B8" authorId="0">
      <text>
        <r>
          <rPr>
            <sz val="10"/>
            <rFont val="Arial"/>
            <family val="2"/>
          </rPr>
          <t>Owner: DPO + SDOs
Data Source: PWD + DPO joint verification</t>
        </r>
      </text>
    </comment>
    <comment ref="B9" authorId="0">
      <text>
        <r>
          <rPr>
            <sz val="10"/>
            <rFont val="Arial"/>
            <family val="2"/>
          </rPr>
          <t>Owner: CDPOs
Data Source: POSHAN Tracker</t>
        </r>
      </text>
    </comment>
    <comment ref="B10" authorId="0">
      <text>
        <r>
          <rPr>
            <sz val="10"/>
            <rFont val="Arial"/>
            <family val="2"/>
          </rPr>
          <t>Owner: CDPOs
Data Source: AWW meal register</t>
        </r>
      </text>
    </comment>
    <comment ref="B11" authorId="0">
      <text>
        <r>
          <rPr>
            <sz val="10"/>
            <rFont val="Arial"/>
            <family val="2"/>
          </rPr>
          <t>Owner: DPO + DMO
Data Source: POSHAN Tracker monthly weighing</t>
        </r>
      </text>
    </comment>
    <comment ref="B12" authorId="0">
      <text>
        <r>
          <rPr>
            <sz val="10"/>
            <rFont val="Arial"/>
            <family val="2"/>
          </rPr>
          <t>Owner: DPO + DMO
Data Source: School-entry health screening</t>
        </r>
      </text>
    </comment>
    <comment ref="B13" authorId="0">
      <text>
        <r>
          <rPr>
            <sz val="10"/>
            <rFont val="Arial"/>
            <family val="2"/>
          </rPr>
          <t>Owner: DPO
Data Source: POSHAN Tracker login data</t>
        </r>
      </text>
    </comment>
  </commentList>
</comments>
</file>

<file path=xl/comments4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De-addiction Hub Lead
Data Source: Hub intake register</t>
        </r>
      </text>
    </comment>
    <comment ref="B6" authorId="0">
      <text>
        <r>
          <rPr>
            <sz val="10"/>
            <rFont val="Arial"/>
            <family val="2"/>
          </rPr>
          <t>Owner: DDM + Skill Officer
Data Source: DDU-GKY portal + employer attestation</t>
        </r>
      </text>
    </comment>
    <comment ref="B7" authorId="0">
      <text>
        <r>
          <rPr>
            <sz val="10"/>
            <rFont val="Arial"/>
            <family val="2"/>
          </rPr>
          <t>Owner: DMHP Nodal Officer
Data Source: DMHP register</t>
        </r>
      </text>
    </comment>
    <comment ref="B8" authorId="0">
      <text>
        <r>
          <rPr>
            <sz val="10"/>
            <rFont val="Arial"/>
            <family val="2"/>
          </rPr>
          <t>Owner: DDSE + BEEOs
Data Source: School register + photo log</t>
        </r>
      </text>
    </comment>
    <comment ref="B9" authorId="0">
      <text>
        <r>
          <rPr>
            <sz val="10"/>
            <rFont val="Arial"/>
            <family val="2"/>
          </rPr>
          <t>Owner: District Sports Officer
Data Source: Sports Office register</t>
        </r>
      </text>
    </comment>
    <comment ref="B10" authorId="0">
      <text>
        <r>
          <rPr>
            <sz val="10"/>
            <rFont val="Arial"/>
            <family val="2"/>
          </rPr>
          <t>Owner: District Sports Officer
Data Source: League registration</t>
        </r>
      </text>
    </comment>
    <comment ref="B11" authorId="0">
      <text>
        <r>
          <rPr>
            <sz val="10"/>
            <rFont val="Arial"/>
            <family val="2"/>
          </rPr>
          <t>Owner: District Skill Officer
Data Source: Skill India portal</t>
        </r>
      </text>
    </comment>
    <comment ref="B12" authorId="0">
      <text>
        <r>
          <rPr>
            <sz val="10"/>
            <rFont val="Arial"/>
            <family val="2"/>
          </rPr>
          <t>Owner: SP
Data Source: FIR + court status register</t>
        </r>
      </text>
    </comment>
  </commentList>
</comments>
</file>

<file path=xl/comments5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DDO Panchayat Raj
Data Source: SBM-G portal + SDO verification</t>
        </r>
      </text>
    </comment>
    <comment ref="B6" authorId="0">
      <text>
        <r>
          <rPr>
            <sz val="10"/>
            <rFont val="Arial"/>
            <family val="2"/>
          </rPr>
          <t>Owner: TMC
Data Source: TMC daily log + photo evidence</t>
        </r>
      </text>
    </comment>
    <comment ref="B7" authorId="0">
      <text>
        <r>
          <rPr>
            <sz val="10"/>
            <rFont val="Arial"/>
            <family val="2"/>
          </rPr>
          <t>Owner: TMC + SDO
Data Source: Monthly inspection</t>
        </r>
      </text>
    </comment>
    <comment ref="B8" authorId="0">
      <text>
        <r>
          <rPr>
            <sz val="10"/>
            <rFont val="Arial"/>
            <family val="2"/>
          </rPr>
          <t>Owner: DC Office
Data Source: Award registration</t>
        </r>
      </text>
    </comment>
    <comment ref="B9" authorId="0">
      <text>
        <r>
          <rPr>
            <sz val="10"/>
            <rFont val="Arial"/>
            <family val="2"/>
          </rPr>
          <t>Owner: TMC
Data Source: TMC sample household survey</t>
        </r>
      </text>
    </comment>
    <comment ref="B10" authorId="0">
      <text>
        <r>
          <rPr>
            <sz val="10"/>
            <rFont val="Arial"/>
            <family val="2"/>
          </rPr>
          <t>Owner: TMC + PWD
Data Source: PWD inspection report (April-May)</t>
        </r>
      </text>
    </comment>
  </commentList>
</comments>
</file>

<file path=xl/comments6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PWD SE
Data Source: Monthly PWD inspection + photo doc</t>
        </r>
      </text>
    </comment>
    <comment ref="B6" authorId="0">
      <text>
        <r>
          <rPr>
            <sz val="10"/>
            <rFont val="Arial"/>
            <family val="2"/>
          </rPr>
          <t>Owner: PWD SE
Data Source: Monsoon inspection (Jun-Sep only)</t>
        </r>
      </text>
    </comment>
    <comment ref="B7" authorId="0">
      <text>
        <r>
          <rPr>
            <sz val="10"/>
            <rFont val="Arial"/>
            <family val="2"/>
          </rPr>
          <t>Owner: PMGSY PIA
Data Source: PMGSY portal + joint inspection</t>
        </r>
      </text>
    </comment>
    <comment ref="B8" authorId="0">
      <text>
        <r>
          <rPr>
            <sz val="10"/>
            <rFont val="Arial"/>
            <family val="2"/>
          </rPr>
          <t>Owner: PHED EE
Data Source: JJM portal + village water user group</t>
        </r>
      </text>
    </comment>
    <comment ref="B9" authorId="0">
      <text>
        <r>
          <rPr>
            <sz val="10"/>
            <rFont val="Arial"/>
            <family val="2"/>
          </rPr>
          <t>Owner: ARUNL District Lead
Data Source: Discom outage records</t>
        </r>
      </text>
    </comment>
    <comment ref="B10" authorId="0">
      <text>
        <r>
          <rPr>
            <sz val="10"/>
            <rFont val="Arial"/>
            <family val="2"/>
          </rPr>
          <t>Owner: Telecom Coordination Cell
Data Source: BSNL/Jio quarterly audit</t>
        </r>
      </text>
    </comment>
    <comment ref="B11" authorId="0">
      <text>
        <r>
          <rPr>
            <sz val="10"/>
            <rFont val="Arial"/>
            <family val="2"/>
          </rPr>
          <t>Owner: PWD SE
Data Source: PWD inspection register</t>
        </r>
      </text>
    </comment>
    <comment ref="B12" authorId="0">
      <text>
        <r>
          <rPr>
            <sz val="10"/>
            <rFont val="Arial"/>
            <family val="2"/>
          </rPr>
          <t>Owner: ARUNL District Lead
Data Source: Discom records</t>
        </r>
      </text>
    </comment>
  </commentList>
</comments>
</file>

<file path=xl/comments7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SP + SHOs
Data Source: Police station register audit</t>
        </r>
      </text>
    </comment>
    <comment ref="B6" authorId="0">
      <text>
        <r>
          <rPr>
            <sz val="10"/>
            <rFont val="Arial"/>
            <family val="2"/>
          </rPr>
          <t>Owner: SP + DySP
Data Source: Court register + PS records</t>
        </r>
      </text>
    </comment>
    <comment ref="B7" authorId="0">
      <text>
        <r>
          <rPr>
            <sz val="10"/>
            <rFont val="Arial"/>
            <family val="2"/>
          </rPr>
          <t>Owner: SP + DMHP
Data Source: Narcotics log + de-addiction intake</t>
        </r>
      </text>
    </comment>
    <comment ref="B8" authorId="0">
      <text>
        <r>
          <rPr>
            <sz val="10"/>
            <rFont val="Arial"/>
            <family val="2"/>
          </rPr>
          <t>Owner: SP
Data Source: FIR register</t>
        </r>
      </text>
    </comment>
    <comment ref="B9" authorId="0">
      <text>
        <r>
          <rPr>
            <sz val="10"/>
            <rFont val="Arial"/>
            <family val="2"/>
          </rPr>
          <t>Owner: SP + Public Prosecutor
Data Source: Court record</t>
        </r>
      </text>
    </comment>
    <comment ref="B10" authorId="0">
      <text>
        <r>
          <rPr>
            <sz val="10"/>
            <rFont val="Arial"/>
            <family val="2"/>
          </rPr>
          <t>Owner: SP
Data Source: PS schedule + attendance</t>
        </r>
      </text>
    </comment>
    <comment ref="B11" authorId="0">
      <text>
        <r>
          <rPr>
            <sz val="10"/>
            <rFont val="Arial"/>
            <family val="2"/>
          </rPr>
          <t>Owner: Excise Supt + SP
Data Source: Joint destruction record (annual cycle)</t>
        </r>
      </text>
    </comment>
    <comment ref="B12" authorId="0">
      <text>
        <r>
          <rPr>
            <sz val="10"/>
            <rFont val="Arial"/>
            <family val="2"/>
          </rPr>
          <t>Owner: SP + SDOs
Data Source: DCR/SP daily situation report</t>
        </r>
      </text>
    </comment>
  </commentList>
</comments>
</file>

<file path=xl/comments8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DAO
Data Source: AEO field visit logs</t>
        </r>
      </text>
    </comment>
    <comment ref="B6" authorId="0">
      <text>
        <r>
          <rPr>
            <sz val="10"/>
            <rFont val="Arial"/>
            <family val="2"/>
          </rPr>
          <t>Owner: DPM-NRLM
Data Source: FPO MIS</t>
        </r>
      </text>
    </comment>
    <comment ref="B7" authorId="0">
      <text>
        <r>
          <rPr>
            <sz val="10"/>
            <rFont val="Arial"/>
            <family val="2"/>
          </rPr>
          <t>Owner: Lead Bank Officer
Data Source: Lead Bank monthly report</t>
        </r>
      </text>
    </comment>
    <comment ref="B8" authorId="0">
      <text>
        <r>
          <rPr>
            <sz val="10"/>
            <rFont val="Arial"/>
            <family val="2"/>
          </rPr>
          <t>Owner: DAO + DCO
Data Source: PM-Kisan portal</t>
        </r>
      </text>
    </comment>
    <comment ref="B9" authorId="0">
      <text>
        <r>
          <rPr>
            <sz val="10"/>
            <rFont val="Arial"/>
            <family val="2"/>
          </rPr>
          <t>Owner: DAO
Data Source: SHC portal</t>
        </r>
      </text>
    </comment>
    <comment ref="B10" authorId="0">
      <text>
        <r>
          <rPr>
            <sz val="10"/>
            <rFont val="Arial"/>
            <family val="2"/>
          </rPr>
          <t>Owner: DHO
Data Source: Horticulture register + farmer attestation</t>
        </r>
      </text>
    </comment>
    <comment ref="B11" authorId="0">
      <text>
        <r>
          <rPr>
            <sz val="10"/>
            <rFont val="Arial"/>
            <family val="2"/>
          </rPr>
          <t>Owner: DHO
Data Source: DHO field survey</t>
        </r>
      </text>
    </comment>
    <comment ref="B12" authorId="0">
      <text>
        <r>
          <rPr>
            <sz val="10"/>
            <rFont val="Arial"/>
            <family val="2"/>
          </rPr>
          <t>Owner: AHD Joint Director
Data Source: AHD veterinary register</t>
        </r>
      </text>
    </comment>
    <comment ref="B13" authorId="0">
      <text>
        <r>
          <rPr>
            <sz val="10"/>
            <rFont val="Arial"/>
            <family val="2"/>
          </rPr>
          <t>Owner: DPM-NRLM
Data Source: NRLM-PSMS portal</t>
        </r>
      </text>
    </comment>
    <comment ref="B14" authorId="0">
      <text>
        <r>
          <rPr>
            <sz val="10"/>
            <rFont val="Arial"/>
            <family val="2"/>
          </rPr>
          <t>Owner: District Skill Officer
Data Source: DDU-GKY MIS</t>
        </r>
      </text>
    </comment>
  </commentList>
</comments>
</file>

<file path=xl/comments9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DC Office (Camp Coordinator)
Data Source: Camp register + photo log</t>
        </r>
      </text>
    </comment>
    <comment ref="B6" authorId="0">
      <text>
        <r>
          <rPr>
            <sz val="10"/>
            <rFont val="Arial"/>
            <family val="2"/>
          </rPr>
          <t>Owner: Aadhaar Cell
Data Source: UIDAI portal</t>
        </r>
      </text>
    </comment>
    <comment ref="B7" authorId="0">
      <text>
        <r>
          <rPr>
            <sz val="10"/>
            <rFont val="Arial"/>
            <family val="2"/>
          </rPr>
          <t>Owner: Lead Bank Officer
Data Source: PMJDY portal</t>
        </r>
      </text>
    </comment>
    <comment ref="B8" authorId="0">
      <text>
        <r>
          <rPr>
            <sz val="10"/>
            <rFont val="Arial"/>
            <family val="2"/>
          </rPr>
          <t>Owner: Food &amp; Civil Supplies Officer
Data Source: FCS register</t>
        </r>
      </text>
    </comment>
    <comment ref="B9" authorId="0">
      <text>
        <r>
          <rPr>
            <sz val="10"/>
            <rFont val="Arial"/>
            <family val="2"/>
          </rPr>
          <t>Owner: DRDA / Block Dev Officer
Data Source: PMAY-G portal</t>
        </r>
      </text>
    </comment>
    <comment ref="B10" authorId="0">
      <text>
        <r>
          <rPr>
            <sz val="10"/>
            <rFont val="Arial"/>
            <family val="2"/>
          </rPr>
          <t>Owner: Social Welfare Officer
Data Source: NSAP portal + DBT records</t>
        </r>
      </text>
    </comment>
    <comment ref="B11" authorId="0">
      <text>
        <r>
          <rPr>
            <sz val="10"/>
            <rFont val="Arial"/>
            <family val="2"/>
          </rPr>
          <t>Owner: DC Office (PVTG cell)
Data Source: DAJGUA / PM-JANMAN MIS</t>
        </r>
      </text>
    </comment>
    <comment ref="B12" authorId="0">
      <text>
        <r>
          <rPr>
            <sz val="10"/>
            <rFont val="Arial"/>
            <family val="2"/>
          </rPr>
          <t>Owner: DC Office
Data Source: DAJGUA MIS + line department reports</t>
        </r>
      </text>
    </comment>
  </commentList>
</comments>
</file>

<file path=xl/comments10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Circle Officers
Data Source: Mutation register</t>
        </r>
      </text>
    </comment>
    <comment ref="B6" authorId="0">
      <text>
        <r>
          <rPr>
            <sz val="10"/>
            <rFont val="Arial"/>
            <family val="2"/>
          </rPr>
          <t>Owner: Revenue Officer
Data Source: DILRMP portal</t>
        </r>
      </text>
    </comment>
    <comment ref="B7" authorId="0">
      <text>
        <r>
          <rPr>
            <sz val="10"/>
            <rFont val="Arial"/>
            <family val="2"/>
          </rPr>
          <t>Owner: Revenue Officer
Data Source: DC office legal cell</t>
        </r>
      </text>
    </comment>
    <comment ref="B8" authorId="0">
      <text>
        <r>
          <rPr>
            <sz val="10"/>
            <rFont val="Arial"/>
            <family val="2"/>
          </rPr>
          <t>Owner: SDOs + COs
Data Source: Darbar register</t>
        </r>
      </text>
    </comment>
    <comment ref="B9" authorId="0">
      <text>
        <r>
          <rPr>
            <sz val="10"/>
            <rFont val="Arial"/>
            <family val="2"/>
          </rPr>
          <t>Owner: Revenue Officer + EAC
Data Source: EAC/SDM court register</t>
        </r>
      </text>
    </comment>
  </commentList>
</comments>
</file>

<file path=xl/comments11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DDMO
Data Source: Drill register + photo doc</t>
        </r>
      </text>
    </comment>
    <comment ref="B6" authorId="0">
      <text>
        <r>
          <rPr>
            <sz val="10"/>
            <rFont val="Arial"/>
            <family val="2"/>
          </rPr>
          <t>Owner: DDMO + line departments
Data Source: Stock register (April month value)</t>
        </r>
      </text>
    </comment>
    <comment ref="B7" authorId="0">
      <text>
        <r>
          <rPr>
            <sz val="10"/>
            <rFont val="Arial"/>
            <family val="2"/>
          </rPr>
          <t>Owner: SDOs + DDMO
Data Source: Village DRR plan documents</t>
        </r>
      </text>
    </comment>
    <comment ref="B8" authorId="0">
      <text>
        <r>
          <rPr>
            <sz val="10"/>
            <rFont val="Arial"/>
            <family val="2"/>
          </rPr>
          <t>Owner: SDOs
Data Source: Incident &amp; relief log</t>
        </r>
      </text>
    </comment>
    <comment ref="B9" authorId="0">
      <text>
        <r>
          <rPr>
            <sz val="10"/>
            <rFont val="Arial"/>
            <family val="2"/>
          </rPr>
          <t>Owner: DDMO
Data Source: DM SMS records + village confirmation</t>
        </r>
      </text>
    </comment>
    <comment ref="B10" authorId="0">
      <text>
        <r>
          <rPr>
            <sz val="10"/>
            <rFont val="Arial"/>
            <family val="2"/>
          </rPr>
          <t>Owner: DDMO + IT Cell
Data Source: Monthly radio test log</t>
        </r>
      </text>
    </comment>
  </commentList>
</comments>
</file>

<file path=xl/comments12.xml><?xml version="1.0" encoding="utf-8"?>
<comments xmlns="http://schemas.openxmlformats.org/spreadsheetml/2006/main">
  <authors>
    <author>Unknown Author</author>
  </authors>
  <commentList>
    <comment ref="B5" authorId="0">
      <text>
        <r>
          <rPr>
            <sz val="10"/>
            <rFont val="Arial"/>
            <family val="2"/>
          </rPr>
          <t>Owner: DC
Data Source: DC tour diary</t>
        </r>
      </text>
    </comment>
    <comment ref="B6" authorId="0">
      <text>
        <r>
          <rPr>
            <sz val="10"/>
            <rFont val="Arial"/>
            <family val="2"/>
          </rPr>
          <t>Owner: SDOs
Data Source: Tour diary countersigned by GB</t>
        </r>
      </text>
    </comment>
    <comment ref="B7" authorId="0">
      <text>
        <r>
          <rPr>
            <sz val="10"/>
            <rFont val="Arial"/>
            <family val="2"/>
          </rPr>
          <t>Owner: All HoDs
Data Source: DC office register</t>
        </r>
      </text>
    </comment>
    <comment ref="B8" authorId="0">
      <text>
        <r>
          <rPr>
            <sz val="10"/>
            <rFont val="Arial"/>
            <family val="2"/>
          </rPr>
          <t>Owner: DC Office
Data Source: Quarterly GB feedback compilation</t>
        </r>
      </text>
    </comment>
    <comment ref="B9" authorId="0">
      <text>
        <r>
          <rPr>
            <sz val="10"/>
            <rFont val="Arial"/>
            <family val="2"/>
          </rPr>
          <t>Owner: DC Office
Data Source: PGRS-DARPAN + helpline log</t>
        </r>
      </text>
    </comment>
    <comment ref="B10" authorId="0">
      <text>
        <r>
          <rPr>
            <sz val="10"/>
            <rFont val="Arial"/>
            <family val="2"/>
          </rPr>
          <t>Owner: All HoDs
Data Source: PGRS-DARPAN closure dates</t>
        </r>
      </text>
    </comment>
    <comment ref="B11" authorId="0">
      <text>
        <r>
          <rPr>
            <sz val="10"/>
            <rFont val="Arial"/>
            <family val="2"/>
          </rPr>
          <t>Owner: DC Office
Data Source: Quarterly random survey</t>
        </r>
      </text>
    </comment>
    <comment ref="B12" authorId="0">
      <text>
        <r>
          <rPr>
            <sz val="10"/>
            <rFont val="Arial"/>
            <family val="2"/>
          </rPr>
          <t>Owner: DC Office
Data Source: Website + notice board</t>
        </r>
      </text>
    </comment>
    <comment ref="B13" authorId="0">
      <text>
        <r>
          <rPr>
            <sz val="10"/>
            <rFont val="Arial"/>
            <family val="2"/>
          </rPr>
          <t>Owner: DC Office
Data Source: Communication log</t>
        </r>
      </text>
    </comment>
    <comment ref="B14" authorId="0">
      <text>
        <r>
          <rPr>
            <sz val="10"/>
            <rFont val="Arial"/>
            <family val="2"/>
          </rPr>
          <t>Owner: DC Office (HR cell)
Data Source: Establishment register</t>
        </r>
      </text>
    </comment>
  </commentList>
</comments>
</file>

<file path=xl/sharedStrings.xml><?xml version="1.0" encoding="utf-8"?>
<sst xmlns="http://schemas.openxmlformats.org/spreadsheetml/2006/main" count="1090" uniqueCount="323">
  <si>
    <t>TIRAP PERFORMANCE INDEX (TPI)</t>
  </si>
  <si>
    <t>Monthly Dashboard for All Departments | Office of the Deputy Commissioner, Tirap District</t>
  </si>
  <si>
    <t>HOW THIS DASHBOARD WORKS</t>
  </si>
  <si>
    <t>CADENCE:  Monthly. All HoDs review together on the FIRST MONDAY of every month, 10:00 AM, DC Conference Room.</t>
  </si>
  <si>
    <t>DATA ENTRY:  HoDs enter their numbers in their KRA tab by the 1st of each month, 12:00 noon. The 'Dashboard' tab</t>
  </si>
  <si>
    <t>auto-calculates achievement, status, and trends. No printing. No PowerPoint. The dashboard IS the meeting.</t>
  </si>
  <si>
    <t>STATUS COLOURS:</t>
  </si>
  <si>
    <t xml:space="preserve">    GREEN  = ≥90% of target achieved</t>
  </si>
  <si>
    <t xml:space="preserve">    YELLOW = 70-89% achieved (warning, no action plan required yet)</t>
  </si>
  <si>
    <t xml:space="preserve">    RED    = &lt;70% achieved (mandatory action plan in 'Action Tracker' tab within 7 days)</t>
  </si>
  <si>
    <t>REVIEW SEQUENCE (90 minutes total):</t>
  </si>
  <si>
    <t xml:space="preserve">    0-15 min:   DC opens with last month's TPI score and one observation (good or bad).</t>
  </si>
  <si>
    <t xml:space="preserve">    15-60 min:  Each KRA owner gets ~3 minutes — only on RED indicators. Greens are skipped to save time.</t>
  </si>
  <si>
    <t xml:space="preserve">    60-75 min:  Cross-cutting issues (when one HoD's RED is caused by another HoD's failure to deliver).</t>
  </si>
  <si>
    <t xml:space="preserve">    75-90 min:  Action commitments. DC closes with one priority for the coming month.</t>
  </si>
  <si>
    <t>GROUND RULES:</t>
  </si>
  <si>
    <t xml:space="preserve">    1. Numbers must be honest. False reporting is the only firing offence.</t>
  </si>
  <si>
    <t xml:space="preserve">    2. RED is not a punishment — hidden RED is.</t>
  </si>
  <si>
    <t xml:space="preserve">    3. No HoD speaks for more than 3 minutes unless asked.</t>
  </si>
  <si>
    <t xml:space="preserve">    4. The dashboard is published on the 5th of every month — internal first, public on the website by the 7th.</t>
  </si>
  <si>
    <t>TABS IN THIS WORKBOOK:</t>
  </si>
  <si>
    <t xml:space="preserve">    1. Cover &amp; Instructions      (this tab)</t>
  </si>
  <si>
    <t xml:space="preserve">    2. Dashboard                 (master view: all KRAs, TPI score, auto-calculated)</t>
  </si>
  <si>
    <t xml:space="preserve">    3. KRA H - Health            (DMO and team enter numbers here)</t>
  </si>
  <si>
    <t xml:space="preserve">    4. KRA E - Education         (DDSE and team)</t>
  </si>
  <si>
    <t xml:space="preserve">    5. KRA A - Anganwadi &amp; ECCE  (DPO ICDS)</t>
  </si>
  <si>
    <t xml:space="preserve">    6. KRA D - Drugs &amp; Youth     (DC + DMO + SP joint)</t>
  </si>
  <si>
    <t xml:space="preserve">    7. KRA S - Sanitation        (TMC + SDOs)</t>
  </si>
  <si>
    <t xml:space="preserve">    8. KRA I - Infrastructure    (PWD SE + PMGSY PIA)</t>
  </si>
  <si>
    <t xml:space="preserve">    9. KRA W - Power             (Executive Engineer, Power)</t>
  </si>
  <si>
    <t xml:space="preserve">   10. KRA L - Law &amp; Order       (SP)</t>
  </si>
  <si>
    <t xml:space="preserve">   11. KRA G - Agriculture       (DAO + DHO + DPM-NRLM)</t>
  </si>
  <si>
    <t xml:space="preserve">   12. KRA C - Convergence       (DC office + cross-departmental)</t>
  </si>
  <si>
    <t xml:space="preserve">   13. KRA R - Revenue &amp; Land    (Revenue Officer + COs)</t>
  </si>
  <si>
    <t xml:space="preserve">   14. KRA J - Jan Suvidha       (OIC, Jan Suvidha Branch — certificates &amp; citizen services)</t>
  </si>
  <si>
    <t xml:space="preserve">   15. KRA M - Disaster Mgmt     (DDMO)</t>
  </si>
  <si>
    <t xml:space="preserve">   16. KRA P - Process &amp; Grievance  (DC office)</t>
  </si>
  <si>
    <t xml:space="preserve">   17. Trends                    (12-month rolling view; auto-populated)</t>
  </si>
  <si>
    <t xml:space="preserve">   18. Action Tracker            (RED indicators get logged here with timeline &amp; owner)</t>
  </si>
  <si>
    <t xml:space="preserve">   19. Officer Directory         (who owns what; phone &amp; WhatsApp numbers)</t>
  </si>
  <si>
    <t>TIRAP PERFORMANCE INDEX (TPI) SCORE:</t>
  </si>
  <si>
    <t xml:space="preserve">    The composite TPI score is a weighted average of all 14 KRAs, scaled 0-100. Weights reflect strategic priority:</t>
  </si>
  <si>
    <t xml:space="preserve">    Health (12), Education (12), Drugs/Youth (10), Anganwadi (8), Infrastructure (8), Law &amp; Order (8),</t>
  </si>
  <si>
    <t xml:space="preserve">    Agriculture (8), Convergence (6), Sanitation (6), Power (6), Revenue &amp; Land (6), Jan Suvidha (6),</t>
  </si>
  <si>
    <t xml:space="preserve">    Process &amp; Grievance (6), Disaster Mgmt (4). Total weight = 106.</t>
  </si>
  <si>
    <t>TARGET-SETTING NOTES:</t>
  </si>
  <si>
    <t xml:space="preserve">    Targets in this workbook are STARTING TARGETS, calibrated for Tirap's current baseline. They should be</t>
  </si>
  <si>
    <t xml:space="preserve">    revised every January based on the previous year's actuals: easier ones tightened, harder ones moderated.</t>
  </si>
  <si>
    <t xml:space="preserve">    Targets that are missed for 3 consecutive months by &gt;50% are likely badly designed — the indicator is</t>
  </si>
  <si>
    <t xml:space="preserve">    re-examined, not the officer punished.</t>
  </si>
  <si>
    <t>DESIGN PRINCIPLE:</t>
  </si>
  <si>
    <t xml:space="preserve">    What gets measured monthly gets done. What gets measured quarterly gets gamed. What doesn't get</t>
  </si>
  <si>
    <t xml:space="preserve">    measured doesn't exist. This dashboard is the single source of truth.</t>
  </si>
  <si>
    <t>TIRAP PERFORMANCE INDEX — MASTER DASHBOARD</t>
  </si>
  <si>
    <t>Reporting Month →</t>
  </si>
  <si>
    <t>Apr</t>
  </si>
  <si>
    <t>←  Select month from dropdown to update entire dashboard</t>
  </si>
  <si>
    <t>TPI SCORE</t>
  </si>
  <si>
    <t>GREEN</t>
  </si>
  <si>
    <t>YELLOW</t>
  </si>
  <si>
    <t>RED</t>
  </si>
  <si>
    <t>TOTAL INDICATORS</t>
  </si>
  <si>
    <t>KEY RESULT AREAS — ACHIEVEMENT BY DEPARTMENT</t>
  </si>
  <si>
    <t>#</t>
  </si>
  <si>
    <t>KRA</t>
  </si>
  <si>
    <t>Owner</t>
  </si>
  <si>
    <t>Weight</t>
  </si>
  <si>
    <t>Indicators</t>
  </si>
  <si>
    <t>Green</t>
  </si>
  <si>
    <t>Yellow</t>
  </si>
  <si>
    <t>Red</t>
  </si>
  <si>
    <t>Avg Achievement %</t>
  </si>
  <si>
    <t>KRA Score (0-100)</t>
  </si>
  <si>
    <t>Status</t>
  </si>
  <si>
    <t>Trend (3-mo)</t>
  </si>
  <si>
    <t>Top RED Indicator</t>
  </si>
  <si>
    <t>Action Status</t>
  </si>
  <si>
    <t>H – Health Service Delivery</t>
  </si>
  <si>
    <t>DMO (District Medical Officer)</t>
  </si>
  <si>
    <t>See Action Tracker</t>
  </si>
  <si>
    <t>E – Education Attendance &amp; Outcomes</t>
  </si>
  <si>
    <t>DDSE (Deputy Director, School Education)</t>
  </si>
  <si>
    <t>A – Anganwadi &amp; ECCE</t>
  </si>
  <si>
    <t>DPO (ICDS)</t>
  </si>
  <si>
    <t>D – Drug Demand-Reduction &amp; Youth</t>
  </si>
  <si>
    <t>DC + DMO + SP (joint)</t>
  </si>
  <si>
    <t>S – Sanitation, Cleanliness &amp; Urban Services</t>
  </si>
  <si>
    <t>TMC / Municipal Cmsr + SDO</t>
  </si>
  <si>
    <t>I – Infrastructure, Roads &amp; Connectivity</t>
  </si>
  <si>
    <t>PWD SE + PMGSY PIA</t>
  </si>
  <si>
    <t>W – Power Supply &amp; Distribution</t>
  </si>
  <si>
    <t>Executive Engineer (Power)</t>
  </si>
  <si>
    <t>L – Law &amp; Order, Public Safety</t>
  </si>
  <si>
    <t>Superintendent of Police</t>
  </si>
  <si>
    <t>G – Agriculture, Horticulture &amp; Allied</t>
  </si>
  <si>
    <t>DAO + DHO + DPM-NRLM</t>
  </si>
  <si>
    <t>C – Convergence &amp; Saturation Villages</t>
  </si>
  <si>
    <t>DC (chair) + multi-departmental</t>
  </si>
  <si>
    <t>R – Revenue &amp; Land</t>
  </si>
  <si>
    <t>Revenue Officer + COs</t>
  </si>
  <si>
    <t>J – Jan Suvidha (Certificates &amp; Services)</t>
  </si>
  <si>
    <t>OIC, Jan Suvidha (DC Office)</t>
  </si>
  <si>
    <t>M – Disaster Management &amp; Resilience</t>
  </si>
  <si>
    <t>District Disaster Mgmt Officer (DDMO)</t>
  </si>
  <si>
    <t>P – Process, People &amp; Citizen Grievance</t>
  </si>
  <si>
    <t>DC Office</t>
  </si>
  <si>
    <t>DISTRICT TOTAL</t>
  </si>
  <si>
    <t>HOW TO READ:  Select the reporting month in cell C2. The entire dashboard updates automatically based on data entered in each KRA tab. GREEN = on track. YELLOW = monitor. RED = action plan required (see 'Action Tracker' tab).</t>
  </si>
  <si>
    <t>KRA H: Health Service Delivery</t>
  </si>
  <si>
    <t>Owner: DMO (District Medical Officer)    |    Weight in TPI: 12    |    Indicators: 12</t>
  </si>
  <si>
    <t>Indicator</t>
  </si>
  <si>
    <t>Unit</t>
  </si>
  <si>
    <t>Target</t>
  </si>
  <si>
    <t>Direction</t>
  </si>
  <si>
    <t>Freq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</si>
  <si>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</si>
  <si>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</si>
  <si>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</si>
  <si>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</si>
  <si>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</si>
  <si>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</si>
  <si>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</si>
  <si>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</si>
  <si>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</si>
  <si>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</si>
  <si>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</si>
  <si>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Current Actual</t>
  </si>
  <si>
    <t>Achievement %</t>
  </si>
  <si>
    <t>3-mo Avg</t>
  </si>
  <si>
    <t>PHC Functionality Score (% of PHCs scoring ≥70% on 6-parameter audit)</t>
  </si>
  <si>
    <t>%</t>
  </si>
  <si>
    <t>↑ higher better</t>
  </si>
  <si>
    <t>M</t>
  </si>
  <si>
    <t>Institutional Delivery Rate</t>
  </si>
  <si>
    <t>Full Immunisation Coverage (children 0-1 yr)</t>
  </si>
  <si>
    <t>eSanjeevani Tele-OPD Consults per active SC</t>
  </si>
  <si>
    <t>count</t>
  </si>
  <si>
    <t>ANC 4 Visits Completed (% of registered pregnancies)</t>
  </si>
  <si>
    <t>Ayushman Card Coverage in Priority Villages</t>
  </si>
  <si>
    <t>Drug Stock-out Days at PHCs (cumulative across district)</t>
  </si>
  <si>
    <t>days</t>
  </si>
  <si>
    <t>↓ lower better</t>
  </si>
  <si>
    <t>OST (Opioid Substitution) Active Patients</t>
  </si>
  <si>
    <t>De-addiction Centre Treatment Retention (3-month)</t>
  </si>
  <si>
    <t>TB Case Notification Rate (per lakh population)</t>
  </si>
  <si>
    <t>rate</t>
  </si>
  <si>
    <t>Maternal Deaths (this month, district total)</t>
  </si>
  <si>
    <t>Infant Deaths (this month, district total)</t>
  </si>
  <si>
    <t>Notes:</t>
  </si>
  <si>
    <t>Blue cells = input (you enter the number). Yellow background = current month, needs filling. Hover indicator name for owner &amp; data source.</t>
  </si>
  <si>
    <t>KRA E: Education Attendance &amp; Outcomes</t>
  </si>
  <si>
    <t>Owner: DDSE (Deputy Director, School Education)    |    Weight in TPI: 12    |    Indicators: 12</t>
  </si>
  <si>
    <t>Teacher Attendance Rate (avg across govt schools)</t>
  </si>
  <si>
    <t>Student Attendance Rate (Classes 1-8)</t>
  </si>
  <si>
    <t>FLN Reading Proficiency, Class 3 (NIPUN Bharat)</t>
  </si>
  <si>
    <t>Q</t>
  </si>
  <si>
    <t>FLN Numeracy Proficiency, Class 3 (NIPUN Bharat)</t>
  </si>
  <si>
    <t>Schools with Functional Toilets (separate boy/girl)</t>
  </si>
  <si>
    <t>Schools with Drinking Water</t>
  </si>
  <si>
    <t>Class 10 Board Pass Rate (annual; reported in March-April)</t>
  </si>
  <si>
    <t>Class 12 Board Pass Rate (annual)</t>
  </si>
  <si>
    <t>Out-of-School Children Identified &amp; Mainstreamed</t>
  </si>
  <si>
    <t>Teacher Training Days Completed (cumulative)</t>
  </si>
  <si>
    <t>Schools Receiving Mid-Day Meal All Working Days</t>
  </si>
  <si>
    <t>EMRS / Ashram School Hostel Occupancy</t>
  </si>
  <si>
    <t>KRA A: Anganwadi &amp; ECCE</t>
  </si>
  <si>
    <t>Owner: DPO (ICDS)    |    Weight in TPI: 8    |    Indicators: 9</t>
  </si>
  <si>
    <t>AWC Functionality Score (% scoring ≥70% on 5-parameter audit)</t>
  </si>
  <si>
    <t>Children 0-6 Registered in ICDS MIS</t>
  </si>
  <si>
    <t>AWCs Running Daily Pre-school Activity</t>
  </si>
  <si>
    <t>Saksham AWC Upgrade Status (cumulative count)</t>
  </si>
  <si>
    <t>Take-Home Ration Distribution Coverage</t>
  </si>
  <si>
    <t>Hot Cooked Meal Days (per AWC per month)</t>
  </si>
  <si>
    <t>Severely Underweight Children (% of registered 0-6)</t>
  </si>
  <si>
    <t>Stunting Rate (Class 1 entrants, annual)</t>
  </si>
  <si>
    <t>AWWs with Smartphone &amp; POSHAN App Active</t>
  </si>
  <si>
    <t>KRA D: Drug Demand-Reduction &amp; Youth</t>
  </si>
  <si>
    <t>Owner: DC + DMO + SP (joint)    |    Weight in TPI: 10    |    Indicators: 8</t>
  </si>
  <si>
    <t>New Patients Inducted into De-addiction Programme</t>
  </si>
  <si>
    <t>Recovered Users Placed in Skilling/Employment</t>
  </si>
  <si>
    <t>Peer Counsellors Active (recovered users)</t>
  </si>
  <si>
    <t>School-Based Drug Awareness Sessions Conducted</t>
  </si>
  <si>
    <t>Sports Tournaments at Circle Level Held</t>
  </si>
  <si>
    <t>Football League Registered Teams</t>
  </si>
  <si>
    <t>Youth Skilling Enrolments (current month)</t>
  </si>
  <si>
    <t>NDPS Cases Registered + Disposal Status</t>
  </si>
  <si>
    <t>KRA S: Sanitation, Cleanliness &amp; Urban Services</t>
  </si>
  <si>
    <t>Owner: TMC / Municipal Cmsr + SDO    |    Weight in TPI: 6    |    Indicators: 6</t>
  </si>
  <si>
    <t>ODF-Plus Villages Declared &amp; Sustained (cumulative)</t>
  </si>
  <si>
    <t>Khonsa Town Door-to-Door Waste Collection Coverage</t>
  </si>
  <si>
    <t>Public Toilets Functional (% of constructed)</t>
  </si>
  <si>
    <t>Swachh Tirap Awards Participating Villages</t>
  </si>
  <si>
    <t>Waste Segregation at Source (% HHs in town)</t>
  </si>
  <si>
    <t>Drains Cleaned Pre-Monsoon (% of urban drains)</t>
  </si>
  <si>
    <t>KRA I: Infrastructure, Roads &amp; Connectivity</t>
  </si>
  <si>
    <t>Owner: PWD SE + PMGSY PIA    |    Weight in TPI: 8    |    Indicators: 8</t>
  </si>
  <si>
    <t>PWD Road Condition (% rated passable, dry season)</t>
  </si>
  <si>
    <t>PWD Road Condition (% passable, monsoon)</t>
  </si>
  <si>
    <t>PMGSY Projects On-Schedule (%)</t>
  </si>
  <si>
    <t>JJM Tap Connections Functional</t>
  </si>
  <si>
    <t>Villages with 24x7 Power</t>
  </si>
  <si>
    <t>Mobile Network Coverage (villages with 4G)</t>
  </si>
  <si>
    <t>Bridges/Culverts Damaged &amp; Awaiting Repair</t>
  </si>
  <si>
    <t>Power Outage Hours (district total, monthly)</t>
  </si>
  <si>
    <t>hours</t>
  </si>
  <si>
    <t>KRA W: Power Supply &amp; Distribution</t>
  </si>
  <si>
    <t>Owner: Executive Engineer (Power), Tirap    |    Weight in TPI: 6    |    Indicators: 10</t>
  </si>
  <si>
    <t>Average Daily Power Supply Hours (district HQ + circle HQs)</t>
  </si>
  <si>
    <t>Total Unscheduled Outage Hours (district aggregate, monthly)</t>
  </si>
  <si>
    <t>Villages with Functional 11kV/LT Connectivity</t>
  </si>
  <si>
    <t>Households with Metered Connection (RDSS / DDUGJY)</t>
  </si>
  <si>
    <t>New Service Connection — Mean Days Application to Energisation</t>
  </si>
  <si>
    <t>Billing Efficiency (units billed / units input)</t>
  </si>
  <si>
    <t>Collection Efficiency (revenue collected / billed)</t>
  </si>
  <si>
    <t>Distribution Transformer Failure Rate (% of installed base)</t>
  </si>
  <si>
    <t>Solar Rooftop / PM-Surya Ghar Installations Completed (cumulative)</t>
  </si>
  <si>
    <t>Critical Substation Maintenance Compliance (% schedule met)</t>
  </si>
  <si>
    <t>KRA L: Law &amp; Order, Public Safety</t>
  </si>
  <si>
    <t>Owner: Superintendent of Police    |    Weight in TPI: 8    |    Indicators: 8</t>
  </si>
  <si>
    <t>FIR Registration Compliance (% of complaints leading to FIR)</t>
  </si>
  <si>
    <t>Case Disposal Rate (% of pending docket disposed)</t>
  </si>
  <si>
    <t>NDPS Seizure-to-Treatment Referral Ratio (lower = better balance)</t>
  </si>
  <si>
    <t>ratio</t>
  </si>
  <si>
    <t>Crimes Against Women (FIRs registered)</t>
  </si>
  <si>
    <t>CAW Conviction Rate (% of cases reaching judgment)</t>
  </si>
  <si>
    <t>Police Public Grievance Days Held (per month, district-wide)</t>
  </si>
  <si>
    <t>Excise / Opium Field Destruction (acres)</t>
  </si>
  <si>
    <t>acres</t>
  </si>
  <si>
    <t>Communal/Tribal Tension Incidents</t>
  </si>
  <si>
    <t>KRA G: Agriculture, Horticulture &amp; Allied</t>
  </si>
  <si>
    <t>Owner: DAO + DHO + DPM-NRLM    |    Weight in TPI: 8    |    Indicators: 10</t>
  </si>
  <si>
    <t>Farmer Field Demonstration Plots Active</t>
  </si>
  <si>
    <t>FPOs Active with &gt;100 Members</t>
  </si>
  <si>
    <t>KCC (Kisan Credit Card) Coverage of Farmers</t>
  </si>
  <si>
    <t>PM-Kisan Beneficiaries Receiving Instalment</t>
  </si>
  <si>
    <t>Soil Health Cards Distributed (cumulative)</t>
  </si>
  <si>
    <t>Agarwood Saplings Distributed (cumulative)</t>
  </si>
  <si>
    <t>Large Cardamom Acreage Brought Under Cultivation</t>
  </si>
  <si>
    <t>Mithun Vaccination Coverage</t>
  </si>
  <si>
    <t>SHGs with Active Bank Credit Line</t>
  </si>
  <si>
    <t>DDU-GKY Skilling Placements (cumulative)</t>
  </si>
  <si>
    <t>KRA C: Convergence &amp; Saturation Villages</t>
  </si>
  <si>
    <t>Owner: DC (chair) + multi-departmental    |    Weight in TPI: 6    |    Indicators: 8</t>
  </si>
  <si>
    <t>Saturation Villages Where Camp Held (cumulative)</t>
  </si>
  <si>
    <t>Aadhaar Saturation in Priority Villages</t>
  </si>
  <si>
    <t>Jan Dhan Account Coverage (adult HHs)</t>
  </si>
  <si>
    <t>Ration Card Backlog (pending applications)</t>
  </si>
  <si>
    <t>PMAY-G Houses Sanctioned vs Completed</t>
  </si>
  <si>
    <t>NSAP Pension Disbursement (% of beneficiaries received)</t>
  </si>
  <si>
    <t>PM-JANMAN Plan Implementation (% of approved activities executed)</t>
  </si>
  <si>
    <t>DAJGUA District Plan Activities On-Schedule</t>
  </si>
  <si>
    <t>KRA R: Revenue &amp; Land</t>
  </si>
  <si>
    <t>Owner: Revenue Officer + COs    |    Weight in TPI: 6    |    Indicators: 5</t>
  </si>
  <si>
    <t>Land Mutation Cases Disposed Within 30 Days</t>
  </si>
  <si>
    <t>Land Records Digitisation Coverage</t>
  </si>
  <si>
    <t>Pending Court Cases Involving District (%)</t>
  </si>
  <si>
    <t>Public Hearing Days (CO + SDO Darbar) Held</t>
  </si>
  <si>
    <t>Revenue Court Cases Disposed</t>
  </si>
  <si>
    <t>KRA J: Jan Suvidha Branch — Certificates &amp; Citizen Services</t>
  </si>
  <si>
    <t>Owner: Officer-in-Charge, Jan Suvidha Branch (DC Office)    |    Weight in TPI: 6    |    Indicators: 12</t>
  </si>
  <si>
    <t>ST (Scheduled Tribe) Certificate Issued Within 15 Days</t>
  </si>
  <si>
    <t>PRC (Permanent Residence Certificate) Issued Within 15 Days</t>
  </si>
  <si>
    <t>TRC (Temporary Residence Certificate) Issued Within 15 Days</t>
  </si>
  <si>
    <t>Government ID Card Issued Within 15 Days</t>
  </si>
  <si>
    <t>ILP (Inner Line Permit) Issued Within 7 Days</t>
  </si>
  <si>
    <t>Driving Licence — Applications Forwarded to DTO Within 3 Working Days</t>
  </si>
  <si>
    <t>Driving Licence — Applications Received (volume, this month)</t>
  </si>
  <si>
    <t>Driving Licence — Applications Pending Forwarding (&gt;3 days)</t>
  </si>
  <si>
    <t>Vehicle Registration — Applications Forwarded to DTO Within 3 Working Days</t>
  </si>
  <si>
    <t>Vehicle Registration — Applications Received (volume, this month)</t>
  </si>
  <si>
    <t>Vehicle Registration — Applications Pending Forwarding (&gt;3 days)</t>
  </si>
  <si>
    <t>Citizen Satisfaction with Jan Suvidha (random phone sample)</t>
  </si>
  <si>
    <t>KRA M: Disaster Management &amp; Resilience</t>
  </si>
  <si>
    <t>Owner: District Disaster Mgmt Officer (DDMO)    |    Weight in TPI: 4    |    Indicators: 6</t>
  </si>
  <si>
    <t>Disaster Preparedness Drills Conducted</t>
  </si>
  <si>
    <t>Pre-Monsoon Stocking at PHCs/Schools (% complete by April)</t>
  </si>
  <si>
    <t>Villages with Documented DRR Plans</t>
  </si>
  <si>
    <t>Relief Reached Within 7 Days of Reported Incident</t>
  </si>
  <si>
    <t>Early Warning System Coverage (flood/landslide-prone villages)</t>
  </si>
  <si>
    <t>VHF/HF Radio Backup Functional at Critical Locations</t>
  </si>
  <si>
    <t>KRA P: Process, People &amp; Citizen Grievance</t>
  </si>
  <si>
    <t>Owner: DC Office    |    Weight in TPI: 6    |    Indicators: 10</t>
  </si>
  <si>
    <t>DC Field Days Completed</t>
  </si>
  <si>
    <t>SDO Field Days (avg per SDO)</t>
  </si>
  <si>
    <t>Officer Tour Diaries Submitted On-Time</t>
  </si>
  <si>
    <t>GB 360 Feedback Forms Received (quarterly)</t>
  </si>
  <si>
    <t>Grievances Registered (PGRS-DARPAN + WhatsApp)</t>
  </si>
  <si>
    <t>Grievances Disposed Within 30 Days</t>
  </si>
  <si>
    <t>Citizen Satisfaction (random phone sample of closed cases)</t>
  </si>
  <si>
    <t>Public Dashboard Released On Time (5th of month)</t>
  </si>
  <si>
    <t>yes/no</t>
  </si>
  <si>
    <t>Press Notes / Public Communications Issued</t>
  </si>
  <si>
    <t>Vacancies in Critical Posts (district total)</t>
  </si>
  <si>
    <t>12-MONTH TREND VIEW — KRA SCORES OVER TIME</t>
  </si>
  <si>
    <t>Read across the row to see how each KRA's average achievement % has moved month-on-month.</t>
  </si>
  <si>
    <t>ACTION TRACKER — RED INDICATORS NEEDING REMEDIAL ACTION</t>
  </si>
  <si>
    <t>PROTOCOL:  When an indicator turns RED, the responsible HoD has 7 days to log a Root Cause and Action Plan. DC reviews status weekly. Items remain on this tracker until indicator returns to YELLOW or GREEN for 2 consecutive months.</t>
  </si>
  <si>
    <t>Date First Red</t>
  </si>
  <si>
    <t>Root Cause (HoD writes)</t>
  </si>
  <si>
    <t>Action Plan (what + when)</t>
  </si>
  <si>
    <t>Resources Needed</t>
  </si>
  <si>
    <t>01</t>
  </si>
  <si>
    <t>01-Apr-2026</t>
  </si>
  <si>
    <t>H</t>
  </si>
  <si>
    <t>MO Tele-Health</t>
  </si>
  <si>
    <t>8 of 12 SC tablets are non-functional; ANMs not trained on new portal version.</t>
  </si>
  <si>
    <t>(1) IT cell to repair tablets by 15-Apr.
(2) Conduct refresher training for 24 ANMs by 22-Apr.
(3) Resume regular consults from 25-Apr.</t>
  </si>
  <si>
    <t>Tablet repair budget Rs 80k; trainer time 2 days</t>
  </si>
  <si>
    <t>In Progress</t>
  </si>
  <si>
    <t>02</t>
  </si>
  <si>
    <t>E</t>
  </si>
  <si>
    <t>Teacher Attendance Rate</t>
  </si>
  <si>
    <t>BEEO Khonsa</t>
  </si>
  <si>
    <t>Biometric devices not installed in 18 schools; manual register prone to manipulation.</t>
  </si>
  <si>
    <t>(1) PWD + IT to install biometric in 18 schools by 30-Apr.
(2) GB countersign system as interim.
(3) Surprise verification by SDO weekly.</t>
  </si>
  <si>
    <t>Biometric devices Rs 4 lakh; SDO time</t>
  </si>
  <si>
    <t>OFFICER DIRECTORY — KRA OWNERS &amp; DEPUTIES</t>
  </si>
  <si>
    <t>Update this sheet whenever there is a transfer or new posting. The Dashboard refers to designations, not names — names go here.</t>
  </si>
  <si>
    <t>Owner Designation</t>
  </si>
  <si>
    <t>Officer Name</t>
  </si>
  <si>
    <t>Phone</t>
  </si>
  <si>
    <t>WhatsApp</t>
  </si>
  <si>
    <t>Email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</si>
</sst>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4">
    <font>
      <sz val="11"/>
      <color theme="1"/>
      <name val="Calibri"/>
      <family val="2"/>
      <charset val="1"/>
    </font>
    <font>
      <b/>
      <sz val="28"/>
      <color rgb="FF1F4E79"/>
      <name val="Calibri"/>
      <charset val="1"/>
    </font>
    <font>
      <i/>
      <sz val="14"/>
      <color rgb="FF555555"/>
      <name val="Calibri"/>
      <charset val="1"/>
    </font>
    <font>
      <b/>
      <sz val="14"/>
      <color rgb="FF1F4E79"/>
      <name val="Calibri"/>
      <charset val="1"/>
    </font>
    <font>
      <sz val="10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1F4E79"/>
      <name val="Calibri"/>
      <charset val="1"/>
    </font>
    <font>
      <b/>
      <sz val="20"/>
      <color rgb="FFFFFFFF"/>
      <name val="Calibri"/>
      <charset val="1"/>
    </font>
    <font>
      <b/>
      <sz val="12"/>
      <color rgb="FF1F4E79"/>
      <name val="Calibri"/>
      <charset val="1"/>
    </font>
    <font>
      <b/>
      <sz val="14"/>
      <color rgb="FF0000FF"/>
      <name val="Calibri"/>
      <charset val="1"/>
    </font>
    <font>
      <i/>
      <sz val="10"/>
      <color rgb="FF666666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44"/>
      <color rgb="FF1F4E79"/>
      <name val="Calibri"/>
      <charset val="1"/>
    </font>
    <font>
      <b/>
      <sz val="22"/>
      <color rgb="FF006100"/>
      <name val="Calibri"/>
      <charset val="1"/>
    </font>
    <font>
      <b/>
      <sz val="22"/>
      <color rgb="FF9C5700"/>
      <name val="Calibri"/>
      <charset val="1"/>
    </font>
    <font>
      <b/>
      <sz val="22"/>
      <color rgb="FF9C0006"/>
      <name val="Calibri"/>
      <charset val="1"/>
    </font>
    <font>
      <b/>
      <sz val="22"/>
      <color rgb="FF404040"/>
      <name val="Calibri"/>
      <charset val="1"/>
    </font>
    <font>
      <b/>
      <sz val="13"/>
      <color rgb="FFFFFFFF"/>
      <name val="Calibri"/>
      <charset val="1"/>
    </font>
    <font>
      <b/>
      <sz val="10"/>
      <color rgb="FF000000"/>
      <name val="Calibri"/>
      <charset val="1"/>
    </font>
    <font>
      <b/>
      <sz val="10"/>
      <color rgb="FF1F4E79"/>
      <name val="Calibri"/>
      <charset val="1"/>
    </font>
    <font>
      <b/>
      <sz val="10"/>
      <color rgb="FF006100"/>
      <name val="Calibri"/>
      <charset val="1"/>
    </font>
    <font>
      <b/>
      <sz val="10"/>
      <color rgb="FF9C5700"/>
      <name val="Calibri"/>
      <charset val="1"/>
    </font>
    <font>
      <b/>
      <sz val="10"/>
      <color rgb="FF9C0006"/>
      <name val="Calibri"/>
      <charset val="1"/>
    </font>
    <font>
      <b/>
      <sz val="10"/>
      <name val="Calibri"/>
      <charset val="1"/>
    </font>
    <font>
      <i/>
      <sz val="9"/>
      <color rgb="FF9C0006"/>
      <name val="Calibri"/>
      <charset val="1"/>
    </font>
    <font>
      <i/>
      <sz val="9"/>
      <color rgb="FF666666"/>
      <name val="Calibri"/>
      <charset val="1"/>
    </font>
    <font>
      <b/>
      <sz val="12"/>
      <color rgb="FFFFFFFF"/>
      <name val="Calibri"/>
      <charset val="1"/>
    </font>
    <font>
      <b/>
      <sz val="14"/>
      <color rgb="FFFFFFFF"/>
      <name val="Calibri"/>
      <charset val="1"/>
    </font>
    <font>
      <b/>
      <sz val="16"/>
      <color rgb="FFFFFFFF"/>
      <name val="Calibri"/>
      <charset val="1"/>
    </font>
    <font>
      <b/>
      <sz val="10"/>
      <color rgb="FF0000FF"/>
      <name val="Calibri"/>
      <charset val="1"/>
    </font>
    <font>
      <sz val="10"/>
      <color rgb="FF0000FF"/>
      <name val="Calibri"/>
      <charset val="1"/>
    </font>
    <font>
      <sz val="10"/>
      <name val="Arial"/>
      <family val="2"/>
    </font>
    <font>
      <i/>
      <sz val="10"/>
      <color rgb="FF555555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rgb="FF1F4E79"/>
        <bgColor rgb="FF203864"/>
      </patternFill>
    </fill>
    <fill>
      <patternFill patternType="solid">
        <fgColor rgb="FFFFFF00"/>
        <bgColor rgb="FFFFFF00"/>
      </patternFill>
    </fill>
    <fill>
      <patternFill patternType="solid">
        <fgColor rgb="FF006100"/>
        <bgColor rgb="FF385723"/>
      </patternFill>
    </fill>
    <fill>
      <patternFill patternType="solid">
        <fgColor rgb="FF9C5700"/>
        <bgColor rgb="FFB45F06"/>
      </patternFill>
    </fill>
    <fill>
      <patternFill patternType="solid">
        <fgColor rgb="FF9C0006"/>
        <bgColor rgb="FF800000"/>
      </patternFill>
    </fill>
    <fill>
      <patternFill patternType="solid">
        <fgColor rgb="FF404040"/>
        <bgColor rgb="FF385723"/>
      </patternFill>
    </fill>
    <fill>
      <patternFill patternType="solid">
        <fgColor rgb="FFF4EFE6"/>
        <bgColor rgb="FFEEF3F8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E0E0E0"/>
      </patternFill>
    </fill>
    <fill>
      <patternFill patternType="solid">
        <fgColor rgb="FFE0E0E0"/>
        <bgColor rgb="FFD9E2F3"/>
      </patternFill>
    </fill>
    <fill>
      <patternFill patternType="solid">
        <fgColor rgb="FFEEF3F8"/>
        <bgColor rgb="FFF4EFE6"/>
      </patternFill>
    </fill>
    <fill>
      <patternFill patternType="solid">
        <fgColor rgb="FFC8A951"/>
        <bgColor rgb="FFBF9000"/>
      </patternFill>
    </fill>
    <fill>
      <patternFill patternType="solid">
        <fgColor rgb="FFC00000"/>
        <bgColor rgb="FF9C0006"/>
      </patternFill>
    </fill>
    <fill>
      <patternFill patternType="solid">
        <fgColor rgb="FFD9E2F3"/>
        <bgColor rgb="FFE0E0E0"/>
      </patternFill>
    </fill>
    <fill>
      <patternFill patternType="solid">
        <fgColor rgb="FFFFFFCC"/>
        <bgColor rgb="FFF4EFE6"/>
      </patternFill>
    </fill>
    <fill>
      <patternFill patternType="solid">
        <fgColor rgb="FFC55A11"/>
        <bgColor rgb="FFB45F06"/>
      </patternFill>
    </fill>
    <fill>
      <patternFill patternType="solid">
        <fgColor rgb="FFBF9000"/>
        <bgColor rgb="FFC8A951"/>
      </patternFill>
    </fill>
    <fill>
      <patternFill patternType="solid">
        <fgColor rgb="FF7030A0"/>
        <bgColor rgb="FF800080"/>
      </patternFill>
    </fill>
    <fill>
      <patternFill patternType="solid">
        <fgColor rgb="FF548235"/>
        <bgColor rgb="FF666666"/>
      </patternFill>
    </fill>
    <fill>
      <patternFill patternType="solid">
        <fgColor rgb="FF0070C0"/>
        <bgColor rgb="FF008080"/>
      </patternFill>
    </fill>
    <fill>
      <patternFill patternType="solid">
        <fgColor rgb="FF203864"/>
        <bgColor rgb="FF1F4E79"/>
      </patternFill>
    </fill>
    <fill>
      <patternFill patternType="solid">
        <fgColor rgb="FF385723"/>
        <bgColor rgb="FF404040"/>
      </patternFill>
    </fill>
    <fill>
      <patternFill patternType="solid">
        <fgColor rgb="FFB45F06"/>
        <bgColor rgb="FFC55A11"/>
      </patternFill>
    </fill>
    <fill>
      <patternFill patternType="solid">
        <fgColor rgb="FF5B9BD5"/>
        <bgColor rgb="FF33CCCC"/>
      </patternFill>
    </fill>
    <fill>
      <patternFill patternType="solid">
        <fgColor rgb="FF843C0C"/>
        <bgColor rgb="FF9C5700"/>
      </patternFill>
    </fill>
    <fill>
      <patternFill patternType="solid">
        <fgColor rgb="FF595959"/>
        <bgColor rgb="FF55555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9" fillId="3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2" borderId="0" xfId="0" applyFill="1" applyAlignment="1"/>
    <xf numFmtId="0" fontId="27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165" fontId="28" fillId="14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30" fillId="13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19" fillId="0" borderId="0" xfId="0" applyFont="1" applyAlignment="1"/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26" fillId="0" borderId="0" xfId="0" applyFont="1" applyAlignment="1"/>
    <xf numFmtId="0" fontId="11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3" fillId="8" borderId="0" xfId="0" applyFont="1" applyFill="1" applyBorder="1" applyAlignment="1">
      <alignment horizontal="center" vertical="center" wrapText="1"/>
    </xf>
    <xf numFmtId="0" fontId="17" fillId="12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7" fillId="2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0" fontId="10" fillId="0" borderId="0" xfId="0" applyFont="1" applyBorder="1" applyAlignment="1"/>
    <xf numFmtId="0" fontId="11" fillId="2" borderId="0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29" fillId="15" borderId="0" xfId="0" applyFont="1" applyFill="1" applyBorder="1" applyAlignment="1">
      <alignment horizontal="center" vertical="center" wrapText="1"/>
    </xf>
    <xf numFmtId="0" fontId="6" fillId="16" borderId="0" xfId="0" applyFont="1" applyFill="1" applyBorder="1" applyAlignment="1">
      <alignment horizontal="center" vertical="center" wrapText="1"/>
    </xf>
    <xf numFmtId="0" fontId="26" fillId="0" borderId="0" xfId="0" applyFont="1" applyBorder="1" applyAlignment="1"/>
    <xf numFmtId="0" fontId="29" fillId="18" borderId="0" xfId="0" applyFont="1" applyFill="1" applyBorder="1" applyAlignment="1">
      <alignment horizontal="center" vertical="center" wrapText="1"/>
    </xf>
    <xf numFmtId="0" fontId="29" fillId="19" borderId="0" xfId="0" applyFont="1" applyFill="1" applyBorder="1" applyAlignment="1">
      <alignment horizontal="center" vertical="center" wrapText="1"/>
    </xf>
    <xf numFmtId="0" fontId="29" fillId="20" borderId="0" xfId="0" applyFont="1" applyFill="1" applyBorder="1" applyAlignment="1">
      <alignment horizontal="center" vertical="center" wrapText="1"/>
    </xf>
    <xf numFmtId="0" fontId="29" fillId="21" borderId="0" xfId="0" applyFont="1" applyFill="1" applyBorder="1" applyAlignment="1">
      <alignment horizontal="center" vertical="center" wrapText="1"/>
    </xf>
    <xf numFmtId="0" fontId="29" fillId="22" borderId="0" xfId="0" applyFont="1" applyFill="1" applyBorder="1" applyAlignment="1">
      <alignment horizontal="center" vertical="center" wrapText="1"/>
    </xf>
    <xf numFmtId="0" fontId="29" fillId="23" borderId="0" xfId="0" applyFont="1" applyFill="1" applyBorder="1" applyAlignment="1">
      <alignment horizontal="center" vertical="center" wrapText="1"/>
    </xf>
    <xf numFmtId="0" fontId="29" fillId="24" borderId="0" xfId="0" applyFont="1" applyFill="1" applyBorder="1" applyAlignment="1">
      <alignment horizontal="center" vertical="center" wrapText="1"/>
    </xf>
    <xf numFmtId="0" fontId="29" fillId="25" borderId="0" xfId="0" applyFont="1" applyFill="1" applyBorder="1" applyAlignment="1">
      <alignment horizontal="center" vertical="center" wrapText="1"/>
    </xf>
    <xf numFmtId="0" fontId="29" fillId="26" borderId="0" xfId="0" applyFont="1" applyFill="1" applyBorder="1" applyAlignment="1">
      <alignment horizontal="center" vertical="center" wrapText="1"/>
    </xf>
    <xf numFmtId="0" fontId="29" fillId="27" borderId="0" xfId="0" applyFont="1" applyFill="1" applyBorder="1" applyAlignment="1">
      <alignment horizontal="center" vertical="center" wrapText="1"/>
    </xf>
    <xf numFmtId="0" fontId="29" fillId="28" borderId="0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6" borderId="0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45"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92D0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92D05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92D05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595959"/>
      <rgbColor rgb="FF5B9BD5"/>
      <rgbColor rgb="FF7030A0"/>
      <rgbColor rgb="FFFFFFCC"/>
      <rgbColor rgb="FFEEF3F8"/>
      <rgbColor rgb="FF660066"/>
      <rgbColor rgb="FFB45F06"/>
      <rgbColor rgb="FF0070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EFE6"/>
      <rgbColor rgb="FFC6EFCE"/>
      <rgbColor rgb="FFFFEB9C"/>
      <rgbColor rgb="FFE0E0E0"/>
      <rgbColor rgb="FFFF99CC"/>
      <rgbColor rgb="FFCC99FF"/>
      <rgbColor rgb="FFFFC7CE"/>
      <rgbColor rgb="FF3366FF"/>
      <rgbColor rgb="FF33CCCC"/>
      <rgbColor rgb="FF92D050"/>
      <rgbColor rgb="FFFFC000"/>
      <rgbColor rgb="FFBF9000"/>
      <rgbColor rgb="FFC55A11"/>
      <rgbColor rgb="FF666666"/>
      <rgbColor rgb="FFC8A951"/>
      <rgbColor rgb="FF203864"/>
      <rgbColor rgb="FF555555"/>
      <rgbColor rgb="FF003300"/>
      <rgbColor rgb="FF385723"/>
      <rgbColor rgb="FF843C0C"/>
      <rgbColor rgb="FF9C5700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68"/>
  <sheetViews>
    <sheetView showGridLines="0" tabSelected="1" topLeftCell="A70" workbookViewId="0">
      <selection activeCell="D63" sqref="A1:XFD1048576"/>
    </sheetView>
  </sheetViews>
  <sheetFormatPr defaultColWidth="8.6640625" defaultRowHeight="14.4"/>
  <cols>
    <col min="1" max="1" width="4" style="1" customWidth="1"/>
    <col min="2" max="2" width="110" style="1" customWidth="1"/>
  </cols>
  <sheetData>
    <row r="2" spans="2:2" ht="30" customHeight="1">
      <c r="B2" s="57" t="s">
        <v>0</v>
      </c>
    </row>
    <row r="3" spans="2:2" ht="30" customHeight="1">
      <c r="B3" s="57"/>
    </row>
    <row r="4" spans="2:2" ht="30" customHeight="1">
      <c r="B4" s="57"/>
    </row>
    <row r="6" spans="2:2" ht="24" customHeight="1">
      <c r="B6" s="2" t="s">
        <v>1</v>
      </c>
    </row>
    <row r="9" spans="2:2" ht="27.75" customHeight="1">
      <c r="B9" s="3" t="s">
        <v>2</v>
      </c>
    </row>
    <row r="10" spans="2:2" ht="15" customHeight="1">
      <c r="B10" s="4"/>
    </row>
    <row r="11" spans="2:2" ht="15" customHeight="1">
      <c r="B11" s="5" t="s">
        <v>3</v>
      </c>
    </row>
    <row r="12" spans="2:2" ht="15" customHeight="1">
      <c r="B12" s="4"/>
    </row>
    <row r="13" spans="2:2" ht="15" customHeight="1">
      <c r="B13" s="5" t="s">
        <v>4</v>
      </c>
    </row>
    <row r="14" spans="2:2" ht="15" customHeight="1">
      <c r="B14" s="4" t="s">
        <v>5</v>
      </c>
    </row>
    <row r="15" spans="2:2" ht="15" customHeight="1">
      <c r="B15" s="4"/>
    </row>
    <row r="16" spans="2:2" ht="15" customHeight="1">
      <c r="B16" s="6" t="s">
        <v>6</v>
      </c>
    </row>
    <row r="17" spans="2:2" ht="15" customHeight="1">
      <c r="B17" s="4" t="s">
        <v>7</v>
      </c>
    </row>
    <row r="18" spans="2:2" ht="15" customHeight="1">
      <c r="B18" s="4" t="s">
        <v>8</v>
      </c>
    </row>
    <row r="19" spans="2:2" ht="15" customHeight="1">
      <c r="B19" s="4" t="s">
        <v>9</v>
      </c>
    </row>
    <row r="20" spans="2:2" ht="15" customHeight="1">
      <c r="B20" s="4"/>
    </row>
    <row r="21" spans="2:2" ht="15" customHeight="1">
      <c r="B21" s="6" t="s">
        <v>10</v>
      </c>
    </row>
    <row r="22" spans="2:2" ht="15" customHeight="1">
      <c r="B22" s="4" t="s">
        <v>11</v>
      </c>
    </row>
    <row r="23" spans="2:2" ht="15" customHeight="1">
      <c r="B23" s="4" t="s">
        <v>12</v>
      </c>
    </row>
    <row r="24" spans="2:2" ht="15" customHeight="1">
      <c r="B24" s="4" t="s">
        <v>13</v>
      </c>
    </row>
    <row r="25" spans="2:2" ht="15" customHeight="1">
      <c r="B25" s="4" t="s">
        <v>14</v>
      </c>
    </row>
    <row r="26" spans="2:2" ht="15" customHeight="1">
      <c r="B26" s="4"/>
    </row>
    <row r="27" spans="2:2" ht="15" customHeight="1">
      <c r="B27" s="6" t="s">
        <v>15</v>
      </c>
    </row>
    <row r="28" spans="2:2" ht="15" customHeight="1">
      <c r="B28" s="4" t="s">
        <v>16</v>
      </c>
    </row>
    <row r="29" spans="2:2" ht="15" customHeight="1">
      <c r="B29" s="4" t="s">
        <v>17</v>
      </c>
    </row>
    <row r="30" spans="2:2" ht="15" customHeight="1">
      <c r="B30" s="4" t="s">
        <v>18</v>
      </c>
    </row>
    <row r="31" spans="2:2" ht="15" customHeight="1">
      <c r="B31" s="4" t="s">
        <v>19</v>
      </c>
    </row>
    <row r="32" spans="2:2" ht="15" customHeight="1">
      <c r="B32" s="4"/>
    </row>
    <row r="33" spans="2:2" ht="15" customHeight="1">
      <c r="B33" s="6" t="s">
        <v>20</v>
      </c>
    </row>
    <row r="34" spans="2:2" ht="15" customHeight="1">
      <c r="B34" s="4" t="s">
        <v>21</v>
      </c>
    </row>
    <row r="35" spans="2:2" ht="15" customHeight="1">
      <c r="B35" s="4" t="s">
        <v>22</v>
      </c>
    </row>
    <row r="36" spans="2:2" ht="15" customHeight="1">
      <c r="B36" s="4" t="s">
        <v>23</v>
      </c>
    </row>
    <row r="37" spans="2:2" ht="15" customHeight="1">
      <c r="B37" s="4" t="s">
        <v>24</v>
      </c>
    </row>
    <row r="38" spans="2:2" ht="15" customHeight="1">
      <c r="B38" s="4" t="s">
        <v>25</v>
      </c>
    </row>
    <row r="39" spans="2:2" ht="15" customHeight="1">
      <c r="B39" s="4" t="s">
        <v>26</v>
      </c>
    </row>
    <row r="40" spans="2:2" ht="15" customHeight="1">
      <c r="B40" s="4" t="s">
        <v>27</v>
      </c>
    </row>
    <row r="41" spans="2:2" ht="15" customHeight="1">
      <c r="B41" s="4" t="s">
        <v>28</v>
      </c>
    </row>
    <row r="42" spans="2:2" ht="15" customHeight="1">
      <c r="B42" s="4" t="s">
        <v>29</v>
      </c>
    </row>
    <row r="43" spans="2:2" ht="15" customHeight="1">
      <c r="B43" s="4" t="s">
        <v>30</v>
      </c>
    </row>
    <row r="44" spans="2:2" ht="15" customHeight="1">
      <c r="B44" s="4" t="s">
        <v>31</v>
      </c>
    </row>
    <row r="45" spans="2:2" ht="15" customHeight="1">
      <c r="B45" s="4" t="s">
        <v>32</v>
      </c>
    </row>
    <row r="46" spans="2:2" ht="15" customHeight="1">
      <c r="B46" s="4" t="s">
        <v>33</v>
      </c>
    </row>
    <row r="47" spans="2:2" ht="15" customHeight="1">
      <c r="B47" s="4" t="s">
        <v>34</v>
      </c>
    </row>
    <row r="48" spans="2:2" ht="15" customHeight="1">
      <c r="B48" s="4" t="s">
        <v>35</v>
      </c>
    </row>
    <row r="49" spans="2:2" ht="15" customHeight="1">
      <c r="B49" s="4" t="s">
        <v>36</v>
      </c>
    </row>
    <row r="50" spans="2:2" ht="15" customHeight="1">
      <c r="B50" s="4" t="s">
        <v>37</v>
      </c>
    </row>
    <row r="51" spans="2:2" ht="15" customHeight="1">
      <c r="B51" s="4" t="s">
        <v>38</v>
      </c>
    </row>
    <row r="52" spans="2:2" ht="15" customHeight="1">
      <c r="B52" s="4" t="s">
        <v>39</v>
      </c>
    </row>
    <row r="53" spans="2:2" ht="15" customHeight="1">
      <c r="B53" s="4"/>
    </row>
    <row r="54" spans="2:2" ht="15" customHeight="1">
      <c r="B54" s="4" t="s">
        <v>40</v>
      </c>
    </row>
    <row r="55" spans="2:2" ht="15" customHeight="1">
      <c r="B55" s="4" t="s">
        <v>41</v>
      </c>
    </row>
    <row r="56" spans="2:2" ht="15" customHeight="1">
      <c r="B56" s="4" t="s">
        <v>42</v>
      </c>
    </row>
    <row r="57" spans="2:2" ht="15" customHeight="1">
      <c r="B57" s="4" t="s">
        <v>43</v>
      </c>
    </row>
    <row r="58" spans="2:2" ht="15" customHeight="1">
      <c r="B58" s="4" t="s">
        <v>44</v>
      </c>
    </row>
    <row r="59" spans="2:2" ht="15" customHeight="1">
      <c r="B59" s="4"/>
    </row>
    <row r="60" spans="2:2" ht="15" customHeight="1">
      <c r="B60" s="6" t="s">
        <v>45</v>
      </c>
    </row>
    <row r="61" spans="2:2" ht="15" customHeight="1">
      <c r="B61" s="4" t="s">
        <v>46</v>
      </c>
    </row>
    <row r="62" spans="2:2" ht="15" customHeight="1">
      <c r="B62" s="4" t="s">
        <v>47</v>
      </c>
    </row>
    <row r="63" spans="2:2" ht="15" customHeight="1">
      <c r="B63" s="4" t="s">
        <v>48</v>
      </c>
    </row>
    <row r="64" spans="2:2" ht="15" customHeight="1">
      <c r="B64" s="4" t="s">
        <v>49</v>
      </c>
    </row>
    <row r="65" spans="2:2" ht="15" customHeight="1">
      <c r="B65" s="4"/>
    </row>
    <row r="66" spans="2:2" ht="15" customHeight="1">
      <c r="B66" s="6" t="s">
        <v>50</v>
      </c>
    </row>
    <row r="67" spans="2:2" ht="15" customHeight="1">
      <c r="B67" s="4" t="s">
        <v>51</v>
      </c>
    </row>
    <row r="68" spans="2:2" ht="15" customHeight="1">
      <c r="B68" s="4" t="s">
        <v>52</v>
      </c>
    </row>
  </sheetData>
  <mergeCells count="1">
    <mergeCell ref="B2:B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6"/>
  <sheetViews>
    <sheetView showGridLines="0" zoomScale="90" zoomScaleNormal="90" workbookViewId="0">
      <pane ySplit="9" topLeftCell="A79" activePane="bottomLeft" state="frozen"/>
      <selection pane="bottomLeft" activeCell="C2" sqref="C2"/>
    </sheetView>
  </sheetViews>
  <sheetFormatPr defaultColWidth="8.6640625" defaultRowHeight="14.4"/>
  <cols>
    <col min="1" max="1" width="4" style="1" customWidth="1"/>
    <col min="2" max="3" width="30" style="1" customWidth="1"/>
    <col min="4" max="4" width="8" style="1" customWidth="1"/>
    <col min="5" max="5" width="11" style="1" customWidth="1"/>
    <col min="6" max="8" width="8" style="1" customWidth="1"/>
    <col min="9" max="10" width="14" style="1" customWidth="1"/>
    <col min="11" max="11" width="11" style="1" customWidth="1"/>
    <col min="12" max="12" width="12" style="1" customWidth="1"/>
    <col min="13" max="13" width="36" style="1" customWidth="1"/>
    <col min="14" max="14" width="18" style="1" customWidth="1"/>
  </cols>
  <sheetData>
    <row r="1" spans="1:14" ht="36" customHeight="1">
      <c r="A1" s="62" t="s">
        <v>53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27.75" customHeight="1">
      <c r="A2" s="63" t="s">
        <v>54</v>
      </c>
      <c r="B2" s="63"/>
      <c r="C2" s="7" t="s">
        <v>55</v>
      </c>
      <c r="D2" s="64" t="s">
        <v>56</v>
      </c>
      <c r="E2" s="64"/>
      <c r="F2" s="64"/>
      <c r="G2" s="64"/>
      <c r="H2" s="64"/>
      <c r="I2" s="64"/>
      <c r="J2" s="64"/>
      <c r="K2" s="64"/>
      <c r="L2" s="64"/>
      <c r="M2" s="64"/>
      <c r="N2" s="64"/>
    </row>
    <row r="4" spans="1:14" ht="25.5" customHeight="1">
      <c r="A4" s="65" t="s">
        <v>57</v>
      </c>
      <c r="B4" s="65"/>
      <c r="D4" s="8" t="s">
        <v>58</v>
      </c>
      <c r="E4" s="9" t="s">
        <v>59</v>
      </c>
      <c r="F4" s="10" t="s">
        <v>60</v>
      </c>
      <c r="G4" s="66" t="s">
        <v>61</v>
      </c>
      <c r="H4" s="66"/>
    </row>
    <row r="5" spans="1:14" ht="30" customHeight="1">
      <c r="A5" s="58">
        <f>ROUND(J24,1)</f>
        <v>19.600000000000001</v>
      </c>
      <c r="B5" s="58"/>
      <c r="D5" s="11">
        <f>SUM(F10:F23)</f>
        <v>18</v>
      </c>
      <c r="E5" s="12">
        <f>SUM(G10:G23)</f>
        <v>0</v>
      </c>
      <c r="F5" s="13">
        <f>SUM(H10:H23)</f>
        <v>106</v>
      </c>
      <c r="G5" s="59">
        <v>124</v>
      </c>
      <c r="H5" s="59"/>
    </row>
    <row r="6" spans="1:14" ht="30" customHeight="1">
      <c r="A6" s="58"/>
      <c r="B6" s="58"/>
    </row>
    <row r="7" spans="1:14" ht="30" customHeight="1">
      <c r="A7" s="58"/>
      <c r="B7" s="58"/>
    </row>
    <row r="8" spans="1:14" ht="27.75" customHeight="1">
      <c r="A8" s="60" t="s">
        <v>62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4" ht="31.5" customHeight="1">
      <c r="A9" s="14" t="s">
        <v>63</v>
      </c>
      <c r="B9" s="14" t="s">
        <v>64</v>
      </c>
      <c r="C9" s="14" t="s">
        <v>65</v>
      </c>
      <c r="D9" s="14" t="s">
        <v>66</v>
      </c>
      <c r="E9" s="14" t="s">
        <v>67</v>
      </c>
      <c r="F9" s="14" t="s">
        <v>68</v>
      </c>
      <c r="G9" s="14" t="s">
        <v>69</v>
      </c>
      <c r="H9" s="14" t="s">
        <v>70</v>
      </c>
      <c r="I9" s="14" t="s">
        <v>71</v>
      </c>
      <c r="J9" s="14" t="s">
        <v>72</v>
      </c>
      <c r="K9" s="14" t="s">
        <v>73</v>
      </c>
      <c r="L9" s="14" t="s">
        <v>74</v>
      </c>
      <c r="M9" s="14" t="s">
        <v>75</v>
      </c>
      <c r="N9" s="14" t="s">
        <v>76</v>
      </c>
    </row>
    <row r="10" spans="1:14" ht="37.5" customHeight="1">
      <c r="A10" s="15">
        <v>1</v>
      </c>
      <c r="B10" s="16" t="s">
        <v>77</v>
      </c>
      <c r="C10" s="17" t="s">
        <v>78</v>
      </c>
      <c r="D10" s="18">
        <v>12</v>
      </c>
      <c r="E10" s="18">
        <v>12</v>
      </c>
      <c r="F10" s="19">
        <f>COUNTIF('KRA H - Health Service Deliver'!$V$5:$V$16,"GREEN")</f>
        <v>3</v>
      </c>
      <c r="G10" s="20">
        <f>COUNTIF('KRA H - Health Service Deliver'!$V$5:$V$16,"YELLOW")</f>
        <v>0</v>
      </c>
      <c r="H10" s="21">
        <f>COUNTIF('KRA H - Health Service Deliver'!$V$5:$V$16,"RED")</f>
        <v>9</v>
      </c>
      <c r="I10" s="22">
        <f>IFERROR(AVERAGEIF('KRA H - Health Service Deliver'!$U$5:$U$16,"&gt;=0"),0)</f>
        <v>0.29166666666666669</v>
      </c>
      <c r="J10" s="23">
        <f>IFERROR(MIN(100,AVERAGEIF('KRA H - Health Service Deliver'!$U$5:$U$16,"&gt;=0")*100),0)</f>
        <v>29.166666666666668</v>
      </c>
      <c r="K10" s="15" t="str">
        <f t="shared" ref="K10:K24" si="0">IF(J10&gt;=90,"GREEN",IF(J10&gt;=70,"YELLOW","RED"))</f>
        <v>RED</v>
      </c>
      <c r="L10" s="24" t="str">
        <f>IFERROR(IF(OR(INDEX(Trends!$C$5:$N$5,MATCH($C$2,{"Apr","May","Jun","Jul","Aug","Sep","Oct","Nov","Dec","Jan","Feb","Mar"},0))="",IF(MATCH($C$2,{"Apr","May","Jun","Jul","Aug","Sep","Oct","Nov","Dec","Jan","Feb","Mar"},0)&lt;=1,INDEX(Trends!$C$5:$N$5,MATCH($C$2,{"Apr","May","Jun","Jul","Aug","Sep","Oct","Nov","Dec","Jan","Feb","Mar"},0)),INDEX(Trends!$C$5:$N$5,MATCH($C$2,{"Apr","May","Jun","Jul","Aug","Sep","Oct","Nov","Dec","Jan","Feb","Mar"},0)-1))=""),"–",IF(INDEX(Trends!$C$5:$N$5,MATCH($C$2,{"Apr","May","Jun","Jul","Aug","Sep","Oct","Nov","Dec","Jan","Feb","Mar"},0))&gt;IF(MATCH($C$2,{"Apr","May","Jun","Jul","Aug","Sep","Oct","Nov","Dec","Jan","Feb","Mar"},0)&lt;=1,INDEX(Trends!$C$5:$N$5,MATCH($C$2,{"Apr","May","Jun","Jul","Aug","Sep","Oct","Nov","Dec","Jan","Feb","Mar"},0)),INDEX(Trends!$C$5:$N$5,MATCH($C$2,{"Apr","May","Jun","Jul","Aug","Sep","Oct","Nov","Dec","Jan","Feb","Mar"},0)-1))+2,"↑ up",IF(INDEX(Trends!$C$5:$N$5,MATCH($C$2,{"Apr","May","Jun","Jul","Aug","Sep","Oct","Nov","Dec","Jan","Feb","Mar"},0))&lt;IF(MATCH($C$2,{"Apr","May","Jun","Jul","Aug","Sep","Oct","Nov","Dec","Jan","Feb","Mar"},0)&lt;=1,INDEX(Trends!$C$5:$N$5,MATCH($C$2,{"Apr","May","Jun","Jul","Aug","Sep","Oct","Nov","Dec","Jan","Feb","Mar"},0)),INDEX(Trends!$C$5:$N$5,MATCH($C$2,{"Apr","May","Jun","Jul","Aug","Sep","Oct","Nov","Dec","Jan","Feb","Mar"},0)-1))-2,"↓ down","→ flat"))),"–")</f>
        <v>→ flat</v>
      </c>
      <c r="M10" s="25" t="str">
        <f>IFERROR(IF(MIN('KRA H - Health Service Deliver'!$U$5:$U$16)&lt;0.7,INDEX('KRA H - Health Service Deliver'!$B$5:$B$16,MATCH(MIN('KRA H - Health Service Deliver'!$U$5:$U$16),'KRA H - Health Service Deliver'!$U$5:$U$16,0)),"–"),"–")</f>
        <v>PHC Functionality Score (% of PHCs scoring ≥70% on 6-parameter audit)</v>
      </c>
      <c r="N10" s="26" t="s">
        <v>79</v>
      </c>
    </row>
    <row r="11" spans="1:14" ht="37.5" customHeight="1">
      <c r="A11" s="15">
        <v>2</v>
      </c>
      <c r="B11" s="16" t="s">
        <v>80</v>
      </c>
      <c r="C11" s="17" t="s">
        <v>81</v>
      </c>
      <c r="D11" s="18">
        <v>12</v>
      </c>
      <c r="E11" s="18">
        <v>12</v>
      </c>
      <c r="F11" s="19">
        <f>COUNTIF('KRA E - Education Attendance &amp;'!$V$5:$V$16,"GREEN")</f>
        <v>0</v>
      </c>
      <c r="G11" s="20">
        <f>COUNTIF('KRA E - Education Attendance &amp;'!$V$5:$V$16,"YELLOW")</f>
        <v>0</v>
      </c>
      <c r="H11" s="21">
        <f>COUNTIF('KRA E - Education Attendance &amp;'!$V$5:$V$16,"RED")</f>
        <v>12</v>
      </c>
      <c r="I11" s="22">
        <f>IFERROR(AVERAGEIF('KRA E - Education Attendance &amp;'!$U$5:$U$16,"&gt;=0"),0)</f>
        <v>0</v>
      </c>
      <c r="J11" s="23">
        <f>IFERROR(MIN(100,AVERAGEIF('KRA E - Education Attendance &amp;'!$U$5:$U$16,"&gt;=0")*100),0)</f>
        <v>0</v>
      </c>
      <c r="K11" s="15" t="str">
        <f t="shared" si="0"/>
        <v>RED</v>
      </c>
      <c r="L11" s="24" t="str">
        <f>IFERROR(IF(OR(INDEX(Trends!$C$6:$N$6,MATCH($C$2,{"Apr","May","Jun","Jul","Aug","Sep","Oct","Nov","Dec","Jan","Feb","Mar"},0))="",IF(MATCH($C$2,{"Apr","May","Jun","Jul","Aug","Sep","Oct","Nov","Dec","Jan","Feb","Mar"},0)&lt;=1,INDEX(Trends!$C$6:$N$6,MATCH($C$2,{"Apr","May","Jun","Jul","Aug","Sep","Oct","Nov","Dec","Jan","Feb","Mar"},0)),INDEX(Trends!$C$6:$N$6,MATCH($C$2,{"Apr","May","Jun","Jul","Aug","Sep","Oct","Nov","Dec","Jan","Feb","Mar"},0)-1))=""),"–",IF(INDEX(Trends!$C$6:$N$6,MATCH($C$2,{"Apr","May","Jun","Jul","Aug","Sep","Oct","Nov","Dec","Jan","Feb","Mar"},0))&gt;IF(MATCH($C$2,{"Apr","May","Jun","Jul","Aug","Sep","Oct","Nov","Dec","Jan","Feb","Mar"},0)&lt;=1,INDEX(Trends!$C$6:$N$6,MATCH($C$2,{"Apr","May","Jun","Jul","Aug","Sep","Oct","Nov","Dec","Jan","Feb","Mar"},0)),INDEX(Trends!$C$6:$N$6,MATCH($C$2,{"Apr","May","Jun","Jul","Aug","Sep","Oct","Nov","Dec","Jan","Feb","Mar"},0)-1))+2,"↑ up",IF(INDEX(Trends!$C$6:$N$6,MATCH($C$2,{"Apr","May","Jun","Jul","Aug","Sep","Oct","Nov","Dec","Jan","Feb","Mar"},0))&lt;IF(MATCH($C$2,{"Apr","May","Jun","Jul","Aug","Sep","Oct","Nov","Dec","Jan","Feb","Mar"},0)&lt;=1,INDEX(Trends!$C$6:$N$6,MATCH($C$2,{"Apr","May","Jun","Jul","Aug","Sep","Oct","Nov","Dec","Jan","Feb","Mar"},0)),INDEX(Trends!$C$6:$N$6,MATCH($C$2,{"Apr","May","Jun","Jul","Aug","Sep","Oct","Nov","Dec","Jan","Feb","Mar"},0)-1))-2,"↓ down","→ flat"))),"–")</f>
        <v>→ flat</v>
      </c>
      <c r="M11" s="25" t="str">
        <f>IFERROR(IF(MIN('KRA E - Education Attendance &amp;'!$U$5:$U$16)&lt;0.7,INDEX('KRA E - Education Attendance &amp;'!$B$5:$B$16,MATCH(MIN('KRA E - Education Attendance &amp;'!$U$5:$U$16),'KRA E - Education Attendance &amp;'!$U$5:$U$16,0)),"–"),"–")</f>
        <v>Teacher Attendance Rate (avg across govt schools)</v>
      </c>
      <c r="N11" s="26" t="s">
        <v>79</v>
      </c>
    </row>
    <row r="12" spans="1:14" ht="37.5" customHeight="1">
      <c r="A12" s="15">
        <v>3</v>
      </c>
      <c r="B12" s="16" t="s">
        <v>82</v>
      </c>
      <c r="C12" s="17" t="s">
        <v>83</v>
      </c>
      <c r="D12" s="18">
        <v>8</v>
      </c>
      <c r="E12" s="18">
        <v>9</v>
      </c>
      <c r="F12" s="19">
        <f>COUNTIF('KRA A - Anganwadi &amp; ECCE'!$V$5:$V$13,"GREEN")</f>
        <v>2</v>
      </c>
      <c r="G12" s="20">
        <f>COUNTIF('KRA A - Anganwadi &amp; ECCE'!$V$5:$V$13,"YELLOW")</f>
        <v>0</v>
      </c>
      <c r="H12" s="21">
        <f>COUNTIF('KRA A - Anganwadi &amp; ECCE'!$V$5:$V$13,"RED")</f>
        <v>7</v>
      </c>
      <c r="I12" s="22">
        <f>IFERROR(AVERAGEIF('KRA A - Anganwadi &amp; ECCE'!$U$5:$U$13,"&gt;=0"),0)</f>
        <v>0.33333333333333331</v>
      </c>
      <c r="J12" s="23">
        <f>IFERROR(MIN(100,AVERAGEIF('KRA A - Anganwadi &amp; ECCE'!$U$5:$U$13,"&gt;=0")*100),0)</f>
        <v>33.333333333333329</v>
      </c>
      <c r="K12" s="15" t="str">
        <f t="shared" si="0"/>
        <v>RED</v>
      </c>
      <c r="L12" s="24" t="str">
        <f>IFERROR(IF(OR(INDEX(Trends!$C$7:$N$7,MATCH($C$2,{"Apr","May","Jun","Jul","Aug","Sep","Oct","Nov","Dec","Jan","Feb","Mar"},0))="",IF(MATCH($C$2,{"Apr","May","Jun","Jul","Aug","Sep","Oct","Nov","Dec","Jan","Feb","Mar"},0)&lt;=1,INDEX(Trends!$C$7:$N$7,MATCH($C$2,{"Apr","May","Jun","Jul","Aug","Sep","Oct","Nov","Dec","Jan","Feb","Mar"},0)),INDEX(Trends!$C$7:$N$7,MATCH($C$2,{"Apr","May","Jun","Jul","Aug","Sep","Oct","Nov","Dec","Jan","Feb","Mar"},0)-1))=""),"–",IF(INDEX(Trends!$C$7:$N$7,MATCH($C$2,{"Apr","May","Jun","Jul","Aug","Sep","Oct","Nov","Dec","Jan","Feb","Mar"},0))&gt;IF(MATCH($C$2,{"Apr","May","Jun","Jul","Aug","Sep","Oct","Nov","Dec","Jan","Feb","Mar"},0)&lt;=1,INDEX(Trends!$C$7:$N$7,MATCH($C$2,{"Apr","May","Jun","Jul","Aug","Sep","Oct","Nov","Dec","Jan","Feb","Mar"},0)),INDEX(Trends!$C$7:$N$7,MATCH($C$2,{"Apr","May","Jun","Jul","Aug","Sep","Oct","Nov","Dec","Jan","Feb","Mar"},0)-1))+2,"↑ up",IF(INDEX(Trends!$C$7:$N$7,MATCH($C$2,{"Apr","May","Jun","Jul","Aug","Sep","Oct","Nov","Dec","Jan","Feb","Mar"},0))&lt;IF(MATCH($C$2,{"Apr","May","Jun","Jul","Aug","Sep","Oct","Nov","Dec","Jan","Feb","Mar"},0)&lt;=1,INDEX(Trends!$C$7:$N$7,MATCH($C$2,{"Apr","May","Jun","Jul","Aug","Sep","Oct","Nov","Dec","Jan","Feb","Mar"},0)),INDEX(Trends!$C$7:$N$7,MATCH($C$2,{"Apr","May","Jun","Jul","Aug","Sep","Oct","Nov","Dec","Jan","Feb","Mar"},0)-1))-2,"↓ down","→ flat"))),"–")</f>
        <v>→ flat</v>
      </c>
      <c r="M12" s="25" t="str">
        <f>IFERROR(IF(MIN('KRA A - Anganwadi &amp; ECCE'!$U$5:$U$13)&lt;0.7,INDEX('KRA A - Anganwadi &amp; ECCE'!$B$5:$B$13,MATCH(MIN('KRA A - Anganwadi &amp; ECCE'!$U$5:$U$13),'KRA A - Anganwadi &amp; ECCE'!$U$5:$U$13,0)),"–"),"–")</f>
        <v>AWC Functionality Score (% scoring ≥70% on 5-parameter audit)</v>
      </c>
      <c r="N12" s="26" t="s">
        <v>79</v>
      </c>
    </row>
    <row r="13" spans="1:14" ht="37.5" customHeight="1">
      <c r="A13" s="15">
        <v>4</v>
      </c>
      <c r="B13" s="16" t="s">
        <v>84</v>
      </c>
      <c r="C13" s="17" t="s">
        <v>85</v>
      </c>
      <c r="D13" s="18">
        <v>10</v>
      </c>
      <c r="E13" s="18">
        <v>8</v>
      </c>
      <c r="F13" s="19">
        <f>COUNTIF('KRA D - Drug Demand-Reduction '!$V$5:$V$12,"GREEN")</f>
        <v>0</v>
      </c>
      <c r="G13" s="20">
        <f>COUNTIF('KRA D - Drug Demand-Reduction '!$V$5:$V$12,"YELLOW")</f>
        <v>0</v>
      </c>
      <c r="H13" s="21">
        <f>COUNTIF('KRA D - Drug Demand-Reduction '!$V$5:$V$12,"RED")</f>
        <v>8</v>
      </c>
      <c r="I13" s="22">
        <f>IFERROR(AVERAGEIF('KRA D - Drug Demand-Reduction '!$U$5:$U$12,"&gt;=0"),0)</f>
        <v>0</v>
      </c>
      <c r="J13" s="23">
        <f>IFERROR(MIN(100,AVERAGEIF('KRA D - Drug Demand-Reduction '!$U$5:$U$12,"&gt;=0")*100),0)</f>
        <v>0</v>
      </c>
      <c r="K13" s="15" t="str">
        <f t="shared" si="0"/>
        <v>RED</v>
      </c>
      <c r="L13" s="24" t="str">
        <f>IFERROR(IF(OR(INDEX(Trends!$C$8:$N$8,MATCH($C$2,{"Apr","May","Jun","Jul","Aug","Sep","Oct","Nov","Dec","Jan","Feb","Mar"},0))="",IF(MATCH($C$2,{"Apr","May","Jun","Jul","Aug","Sep","Oct","Nov","Dec","Jan","Feb","Mar"},0)&lt;=1,INDEX(Trends!$C$8:$N$8,MATCH($C$2,{"Apr","May","Jun","Jul","Aug","Sep","Oct","Nov","Dec","Jan","Feb","Mar"},0)),INDEX(Trends!$C$8:$N$8,MATCH($C$2,{"Apr","May","Jun","Jul","Aug","Sep","Oct","Nov","Dec","Jan","Feb","Mar"},0)-1))=""),"–",IF(INDEX(Trends!$C$8:$N$8,MATCH($C$2,{"Apr","May","Jun","Jul","Aug","Sep","Oct","Nov","Dec","Jan","Feb","Mar"},0))&gt;IF(MATCH($C$2,{"Apr","May","Jun","Jul","Aug","Sep","Oct","Nov","Dec","Jan","Feb","Mar"},0)&lt;=1,INDEX(Trends!$C$8:$N$8,MATCH($C$2,{"Apr","May","Jun","Jul","Aug","Sep","Oct","Nov","Dec","Jan","Feb","Mar"},0)),INDEX(Trends!$C$8:$N$8,MATCH($C$2,{"Apr","May","Jun","Jul","Aug","Sep","Oct","Nov","Dec","Jan","Feb","Mar"},0)-1))+2,"↑ up",IF(INDEX(Trends!$C$8:$N$8,MATCH($C$2,{"Apr","May","Jun","Jul","Aug","Sep","Oct","Nov","Dec","Jan","Feb","Mar"},0))&lt;IF(MATCH($C$2,{"Apr","May","Jun","Jul","Aug","Sep","Oct","Nov","Dec","Jan","Feb","Mar"},0)&lt;=1,INDEX(Trends!$C$8:$N$8,MATCH($C$2,{"Apr","May","Jun","Jul","Aug","Sep","Oct","Nov","Dec","Jan","Feb","Mar"},0)),INDEX(Trends!$C$8:$N$8,MATCH($C$2,{"Apr","May","Jun","Jul","Aug","Sep","Oct","Nov","Dec","Jan","Feb","Mar"},0)-1))-2,"↓ down","→ flat"))),"–")</f>
        <v>→ flat</v>
      </c>
      <c r="M13" s="25" t="str">
        <f>IFERROR(IF(MIN('KRA D - Drug Demand-Reduction '!$U$5:$U$12)&lt;0.7,INDEX('KRA D - Drug Demand-Reduction '!$B$5:$B$12,MATCH(MIN('KRA D - Drug Demand-Reduction '!$U$5:$U$12),'KRA D - Drug Demand-Reduction '!$U$5:$U$12,0)),"–"),"–")</f>
        <v>New Patients Inducted into De-addiction Programme</v>
      </c>
      <c r="N13" s="26" t="s">
        <v>79</v>
      </c>
    </row>
    <row r="14" spans="1:14" ht="37.5" customHeight="1">
      <c r="A14" s="15">
        <v>5</v>
      </c>
      <c r="B14" s="16" t="s">
        <v>86</v>
      </c>
      <c r="C14" s="17" t="s">
        <v>87</v>
      </c>
      <c r="D14" s="18">
        <v>6</v>
      </c>
      <c r="E14" s="18">
        <v>6</v>
      </c>
      <c r="F14" s="19">
        <f>COUNTIF('KRA S - Sanitation, Cleanlines'!$V$5:$V$10,"GREEN")</f>
        <v>0</v>
      </c>
      <c r="G14" s="20">
        <f>COUNTIF('KRA S - Sanitation, Cleanlines'!$V$5:$V$10,"YELLOW")</f>
        <v>0</v>
      </c>
      <c r="H14" s="21">
        <f>COUNTIF('KRA S - Sanitation, Cleanlines'!$V$5:$V$10,"RED")</f>
        <v>6</v>
      </c>
      <c r="I14" s="22">
        <f>IFERROR(AVERAGEIF('KRA S - Sanitation, Cleanlines'!$U$5:$U$10,"&gt;=0"),0)</f>
        <v>0</v>
      </c>
      <c r="J14" s="23">
        <f>IFERROR(MIN(100,AVERAGEIF('KRA S - Sanitation, Cleanlines'!$U$5:$U$10,"&gt;=0")*100),0)</f>
        <v>0</v>
      </c>
      <c r="K14" s="15" t="str">
        <f t="shared" si="0"/>
        <v>RED</v>
      </c>
      <c r="L14" s="24" t="str">
        <f>IFERROR(IF(OR(INDEX(Trends!$C$9:$N$9,MATCH($C$2,{"Apr","May","Jun","Jul","Aug","Sep","Oct","Nov","Dec","Jan","Feb","Mar"},0))="",IF(MATCH($C$2,{"Apr","May","Jun","Jul","Aug","Sep","Oct","Nov","Dec","Jan","Feb","Mar"},0)&lt;=1,INDEX(Trends!$C$9:$N$9,MATCH($C$2,{"Apr","May","Jun","Jul","Aug","Sep","Oct","Nov","Dec","Jan","Feb","Mar"},0)),INDEX(Trends!$C$9:$N$9,MATCH($C$2,{"Apr","May","Jun","Jul","Aug","Sep","Oct","Nov","Dec","Jan","Feb","Mar"},0)-1))=""),"–",IF(INDEX(Trends!$C$9:$N$9,MATCH($C$2,{"Apr","May","Jun","Jul","Aug","Sep","Oct","Nov","Dec","Jan","Feb","Mar"},0))&gt;IF(MATCH($C$2,{"Apr","May","Jun","Jul","Aug","Sep","Oct","Nov","Dec","Jan","Feb","Mar"},0)&lt;=1,INDEX(Trends!$C$9:$N$9,MATCH($C$2,{"Apr","May","Jun","Jul","Aug","Sep","Oct","Nov","Dec","Jan","Feb","Mar"},0)),INDEX(Trends!$C$9:$N$9,MATCH($C$2,{"Apr","May","Jun","Jul","Aug","Sep","Oct","Nov","Dec","Jan","Feb","Mar"},0)-1))+2,"↑ up",IF(INDEX(Trends!$C$9:$N$9,MATCH($C$2,{"Apr","May","Jun","Jul","Aug","Sep","Oct","Nov","Dec","Jan","Feb","Mar"},0))&lt;IF(MATCH($C$2,{"Apr","May","Jun","Jul","Aug","Sep","Oct","Nov","Dec","Jan","Feb","Mar"},0)&lt;=1,INDEX(Trends!$C$9:$N$9,MATCH($C$2,{"Apr","May","Jun","Jul","Aug","Sep","Oct","Nov","Dec","Jan","Feb","Mar"},0)),INDEX(Trends!$C$9:$N$9,MATCH($C$2,{"Apr","May","Jun","Jul","Aug","Sep","Oct","Nov","Dec","Jan","Feb","Mar"},0)-1))-2,"↓ down","→ flat"))),"–")</f>
        <v>→ flat</v>
      </c>
      <c r="M14" s="25" t="str">
        <f>IFERROR(IF(MIN('KRA S - Sanitation, Cleanlines'!$U$5:$U$10)&lt;0.7,INDEX('KRA S - Sanitation, Cleanlines'!$B$5:$B$10,MATCH(MIN('KRA S - Sanitation, Cleanlines'!$U$5:$U$10),'KRA S - Sanitation, Cleanlines'!$U$5:$U$10,0)),"–"),"–")</f>
        <v>ODF-Plus Villages Declared &amp; Sustained (cumulative)</v>
      </c>
      <c r="N14" s="26" t="s">
        <v>79</v>
      </c>
    </row>
    <row r="15" spans="1:14" ht="37.5" customHeight="1">
      <c r="A15" s="15">
        <v>6</v>
      </c>
      <c r="B15" s="16" t="s">
        <v>88</v>
      </c>
      <c r="C15" s="17" t="s">
        <v>89</v>
      </c>
      <c r="D15" s="18">
        <v>8</v>
      </c>
      <c r="E15" s="18">
        <v>8</v>
      </c>
      <c r="F15" s="19">
        <f>COUNTIF('KRA I - Infrastructure, Roads '!$V$5:$V$12,"GREEN")</f>
        <v>2</v>
      </c>
      <c r="G15" s="20">
        <f>COUNTIF('KRA I - Infrastructure, Roads '!$V$5:$V$12,"YELLOW")</f>
        <v>0</v>
      </c>
      <c r="H15" s="21">
        <f>COUNTIF('KRA I - Infrastructure, Roads '!$V$5:$V$12,"RED")</f>
        <v>6</v>
      </c>
      <c r="I15" s="22">
        <f>IFERROR(AVERAGEIF('KRA I - Infrastructure, Roads '!$U$5:$U$12,"&gt;=0"),0)</f>
        <v>0.375</v>
      </c>
      <c r="J15" s="23">
        <f>IFERROR(MIN(100,AVERAGEIF('KRA I - Infrastructure, Roads '!$U$5:$U$12,"&gt;=0")*100),0)</f>
        <v>37.5</v>
      </c>
      <c r="K15" s="15" t="str">
        <f t="shared" si="0"/>
        <v>RED</v>
      </c>
      <c r="L15" s="24" t="str">
        <f>IFERROR(IF(OR(INDEX(Trends!$C$10:$N$10,MATCH($C$2,{"Apr","May","Jun","Jul","Aug","Sep","Oct","Nov","Dec","Jan","Feb","Mar"},0))="",IF(MATCH($C$2,{"Apr","May","Jun","Jul","Aug","Sep","Oct","Nov","Dec","Jan","Feb","Mar"},0)&lt;=1,INDEX(Trends!$C$10:$N$10,MATCH($C$2,{"Apr","May","Jun","Jul","Aug","Sep","Oct","Nov","Dec","Jan","Feb","Mar"},0)),INDEX(Trends!$C$10:$N$10,MATCH($C$2,{"Apr","May","Jun","Jul","Aug","Sep","Oct","Nov","Dec","Jan","Feb","Mar"},0)-1))=""),"–",IF(INDEX(Trends!$C$10:$N$10,MATCH($C$2,{"Apr","May","Jun","Jul","Aug","Sep","Oct","Nov","Dec","Jan","Feb","Mar"},0))&gt;IF(MATCH($C$2,{"Apr","May","Jun","Jul","Aug","Sep","Oct","Nov","Dec","Jan","Feb","Mar"},0)&lt;=1,INDEX(Trends!$C$10:$N$10,MATCH($C$2,{"Apr","May","Jun","Jul","Aug","Sep","Oct","Nov","Dec","Jan","Feb","Mar"},0)),INDEX(Trends!$C$10:$N$10,MATCH($C$2,{"Apr","May","Jun","Jul","Aug","Sep","Oct","Nov","Dec","Jan","Feb","Mar"},0)-1))+2,"↑ up",IF(INDEX(Trends!$C$10:$N$10,MATCH($C$2,{"Apr","May","Jun","Jul","Aug","Sep","Oct","Nov","Dec","Jan","Feb","Mar"},0))&lt;IF(MATCH($C$2,{"Apr","May","Jun","Jul","Aug","Sep","Oct","Nov","Dec","Jan","Feb","Mar"},0)&lt;=1,INDEX(Trends!$C$10:$N$10,MATCH($C$2,{"Apr","May","Jun","Jul","Aug","Sep","Oct","Nov","Dec","Jan","Feb","Mar"},0)),INDEX(Trends!$C$10:$N$10,MATCH($C$2,{"Apr","May","Jun","Jul","Aug","Sep","Oct","Nov","Dec","Jan","Feb","Mar"},0)-1))-2,"↓ down","→ flat"))),"–")</f>
        <v>→ flat</v>
      </c>
      <c r="M15" s="25" t="str">
        <f>IFERROR(IF(MIN('KRA I - Infrastructure, Roads '!$U$5:$U$12)&lt;0.7,INDEX('KRA I - Infrastructure, Roads '!$B$5:$B$12,MATCH(MIN('KRA I - Infrastructure, Roads '!$U$5:$U$12),'KRA I - Infrastructure, Roads '!$U$5:$U$12,0)),"–"),"–")</f>
        <v>PWD Road Condition (% rated passable, dry season)</v>
      </c>
      <c r="N15" s="26" t="s">
        <v>79</v>
      </c>
    </row>
    <row r="16" spans="1:14" ht="37.5" customHeight="1">
      <c r="A16" s="15">
        <v>7</v>
      </c>
      <c r="B16" s="16" t="s">
        <v>90</v>
      </c>
      <c r="C16" s="17" t="s">
        <v>91</v>
      </c>
      <c r="D16" s="18">
        <v>6</v>
      </c>
      <c r="E16" s="18">
        <v>10</v>
      </c>
      <c r="F16" s="19">
        <f>COUNTIF('KRA W - Power'!$V$5:$V$14,"GREEN")</f>
        <v>3</v>
      </c>
      <c r="G16" s="20">
        <f>COUNTIF('KRA W - Power'!$V$5:$V$14,"YELLOW")</f>
        <v>0</v>
      </c>
      <c r="H16" s="21">
        <f>COUNTIF('KRA W - Power'!$V$5:$V$14,"RED")</f>
        <v>7</v>
      </c>
      <c r="I16" s="22">
        <f>IFERROR(AVERAGEIF('KRA W - Power'!$U$5:$U$14,"&gt;=0"),0)</f>
        <v>0.45</v>
      </c>
      <c r="J16" s="23">
        <f>IFERROR(MIN(100,AVERAGEIF('KRA W - Power'!$U$5:$U$14,"&gt;=0")*100),0)</f>
        <v>45</v>
      </c>
      <c r="K16" s="15" t="str">
        <f t="shared" si="0"/>
        <v>RED</v>
      </c>
      <c r="L16" s="24" t="str">
        <f>IFERROR(IF(OR(INDEX(Trends!$C$11:$N$11,MATCH($C$2,{"Apr","May","Jun","Jul","Aug","Sep","Oct","Nov","Dec","Jan","Feb","Mar"},0))="",IF(MATCH($C$2,{"Apr","May","Jun","Jul","Aug","Sep","Oct","Nov","Dec","Jan","Feb","Mar"},0)&lt;=1,INDEX(Trends!$C$11:$N$11,MATCH($C$2,{"Apr","May","Jun","Jul","Aug","Sep","Oct","Nov","Dec","Jan","Feb","Mar"},0)),INDEX(Trends!$C$11:$N$11,MATCH($C$2,{"Apr","May","Jun","Jul","Aug","Sep","Oct","Nov","Dec","Jan","Feb","Mar"},0)-1))=""),"–",IF(INDEX(Trends!$C$11:$N$11,MATCH($C$2,{"Apr","May","Jun","Jul","Aug","Sep","Oct","Nov","Dec","Jan","Feb","Mar"},0))&gt;IF(MATCH($C$2,{"Apr","May","Jun","Jul","Aug","Sep","Oct","Nov","Dec","Jan","Feb","Mar"},0)&lt;=1,INDEX(Trends!$C$11:$N$11,MATCH($C$2,{"Apr","May","Jun","Jul","Aug","Sep","Oct","Nov","Dec","Jan","Feb","Mar"},0)),INDEX(Trends!$C$11:$N$11,MATCH($C$2,{"Apr","May","Jun","Jul","Aug","Sep","Oct","Nov","Dec","Jan","Feb","Mar"},0)-1))+2,"↑ up",IF(INDEX(Trends!$C$11:$N$11,MATCH($C$2,{"Apr","May","Jun","Jul","Aug","Sep","Oct","Nov","Dec","Jan","Feb","Mar"},0))&lt;IF(MATCH($C$2,{"Apr","May","Jun","Jul","Aug","Sep","Oct","Nov","Dec","Jan","Feb","Mar"},0)&lt;=1,INDEX(Trends!$C$11:$N$11,MATCH($C$2,{"Apr","May","Jun","Jul","Aug","Sep","Oct","Nov","Dec","Jan","Feb","Mar"},0)),INDEX(Trends!$C$11:$N$11,MATCH($C$2,{"Apr","May","Jun","Jul","Aug","Sep","Oct","Nov","Dec","Jan","Feb","Mar"},0)-1))-2,"↓ down","→ flat"))),"–")</f>
        <v>→ flat</v>
      </c>
      <c r="M16" s="25" t="str">
        <f>IFERROR(IF(MIN('KRA W - Power'!$U$5:$U$14)&lt;0.7,INDEX('KRA W - Power'!$B$5:$B$14,MATCH(MIN('KRA W - Power'!$U$5:$U$14),'KRA W - Power'!$U$5:$U$14,0)),"–"),"–")</f>
        <v>Average Daily Power Supply Hours (district HQ + circle HQs)</v>
      </c>
      <c r="N16" s="26" t="s">
        <v>79</v>
      </c>
    </row>
    <row r="17" spans="1:14" ht="37.5" customHeight="1">
      <c r="A17" s="15">
        <v>8</v>
      </c>
      <c r="B17" s="16" t="s">
        <v>92</v>
      </c>
      <c r="C17" s="17" t="s">
        <v>93</v>
      </c>
      <c r="D17" s="18">
        <v>8</v>
      </c>
      <c r="E17" s="18">
        <v>8</v>
      </c>
      <c r="F17" s="19">
        <f>COUNTIF('KRA L - Law &amp; Order, Public Sa'!$V$5:$V$12,"GREEN")</f>
        <v>3</v>
      </c>
      <c r="G17" s="20">
        <f>COUNTIF('KRA L - Law &amp; Order, Public Sa'!$V$5:$V$12,"YELLOW")</f>
        <v>0</v>
      </c>
      <c r="H17" s="21">
        <f>COUNTIF('KRA L - Law &amp; Order, Public Sa'!$V$5:$V$12,"RED")</f>
        <v>5</v>
      </c>
      <c r="I17" s="22">
        <f>IFERROR(AVERAGEIF('KRA L - Law &amp; Order, Public Sa'!$U$5:$U$12,"&gt;=0"),0)</f>
        <v>0.5</v>
      </c>
      <c r="J17" s="23">
        <f>IFERROR(MIN(100,AVERAGEIF('KRA L - Law &amp; Order, Public Sa'!$U$5:$U$12,"&gt;=0")*100),0)</f>
        <v>50</v>
      </c>
      <c r="K17" s="15" t="str">
        <f t="shared" si="0"/>
        <v>RED</v>
      </c>
      <c r="L17" s="24" t="str">
        <f>IFERROR(IF(OR(INDEX(Trends!$C$12:$N$12,MATCH($C$2,{"Apr","May","Jun","Jul","Aug","Sep","Oct","Nov","Dec","Jan","Feb","Mar"},0))="",IF(MATCH($C$2,{"Apr","May","Jun","Jul","Aug","Sep","Oct","Nov","Dec","Jan","Feb","Mar"},0)&lt;=1,INDEX(Trends!$C$12:$N$12,MATCH($C$2,{"Apr","May","Jun","Jul","Aug","Sep","Oct","Nov","Dec","Jan","Feb","Mar"},0)),INDEX(Trends!$C$12:$N$12,MATCH($C$2,{"Apr","May","Jun","Jul","Aug","Sep","Oct","Nov","Dec","Jan","Feb","Mar"},0)-1))=""),"–",IF(INDEX(Trends!$C$12:$N$12,MATCH($C$2,{"Apr","May","Jun","Jul","Aug","Sep","Oct","Nov","Dec","Jan","Feb","Mar"},0))&gt;IF(MATCH($C$2,{"Apr","May","Jun","Jul","Aug","Sep","Oct","Nov","Dec","Jan","Feb","Mar"},0)&lt;=1,INDEX(Trends!$C$12:$N$12,MATCH($C$2,{"Apr","May","Jun","Jul","Aug","Sep","Oct","Nov","Dec","Jan","Feb","Mar"},0)),INDEX(Trends!$C$12:$N$12,MATCH($C$2,{"Apr","May","Jun","Jul","Aug","Sep","Oct","Nov","Dec","Jan","Feb","Mar"},0)-1))+2,"↑ up",IF(INDEX(Trends!$C$12:$N$12,MATCH($C$2,{"Apr","May","Jun","Jul","Aug","Sep","Oct","Nov","Dec","Jan","Feb","Mar"},0))&lt;IF(MATCH($C$2,{"Apr","May","Jun","Jul","Aug","Sep","Oct","Nov","Dec","Jan","Feb","Mar"},0)&lt;=1,INDEX(Trends!$C$12:$N$12,MATCH($C$2,{"Apr","May","Jun","Jul","Aug","Sep","Oct","Nov","Dec","Jan","Feb","Mar"},0)),INDEX(Trends!$C$12:$N$12,MATCH($C$2,{"Apr","May","Jun","Jul","Aug","Sep","Oct","Nov","Dec","Jan","Feb","Mar"},0)-1))-2,"↓ down","→ flat"))),"–")</f>
        <v>→ flat</v>
      </c>
      <c r="M17" s="25" t="str">
        <f>IFERROR(IF(MIN('KRA L - Law &amp; Order, Public Sa'!$U$5:$U$12)&lt;0.7,INDEX('KRA L - Law &amp; Order, Public Sa'!$B$5:$B$12,MATCH(MIN('KRA L - Law &amp; Order, Public Sa'!$U$5:$U$12),'KRA L - Law &amp; Order, Public Sa'!$U$5:$U$12,0)),"–"),"–")</f>
        <v>FIR Registration Compliance (% of complaints leading to FIR)</v>
      </c>
      <c r="N17" s="26" t="s">
        <v>79</v>
      </c>
    </row>
    <row r="18" spans="1:14" ht="37.5" customHeight="1">
      <c r="A18" s="15">
        <v>9</v>
      </c>
      <c r="B18" s="16" t="s">
        <v>94</v>
      </c>
      <c r="C18" s="17" t="s">
        <v>95</v>
      </c>
      <c r="D18" s="18">
        <v>8</v>
      </c>
      <c r="E18" s="18">
        <v>10</v>
      </c>
      <c r="F18" s="19">
        <f>COUNTIF('KRA G - Agriculture, Horticult'!$V$5:$V$14,"GREEN")</f>
        <v>0</v>
      </c>
      <c r="G18" s="20">
        <f>COUNTIF('KRA G - Agriculture, Horticult'!$V$5:$V$14,"YELLOW")</f>
        <v>0</v>
      </c>
      <c r="H18" s="21">
        <f>COUNTIF('KRA G - Agriculture, Horticult'!$V$5:$V$14,"RED")</f>
        <v>10</v>
      </c>
      <c r="I18" s="22">
        <f>IFERROR(AVERAGEIF('KRA G - Agriculture, Horticult'!$U$5:$U$14,"&gt;=0"),0)</f>
        <v>0</v>
      </c>
      <c r="J18" s="23">
        <f>IFERROR(MIN(100,AVERAGEIF('KRA G - Agriculture, Horticult'!$U$5:$U$14,"&gt;=0")*100),0)</f>
        <v>0</v>
      </c>
      <c r="K18" s="15" t="str">
        <f t="shared" si="0"/>
        <v>RED</v>
      </c>
      <c r="L18" s="24" t="str">
        <f>IFERROR(IF(OR(INDEX(Trends!$C$13:$N$13,MATCH($C$2,{"Apr","May","Jun","Jul","Aug","Sep","Oct","Nov","Dec","Jan","Feb","Mar"},0))="",IF(MATCH($C$2,{"Apr","May","Jun","Jul","Aug","Sep","Oct","Nov","Dec","Jan","Feb","Mar"},0)&lt;=1,INDEX(Trends!$C$13:$N$13,MATCH($C$2,{"Apr","May","Jun","Jul","Aug","Sep","Oct","Nov","Dec","Jan","Feb","Mar"},0)),INDEX(Trends!$C$13:$N$13,MATCH($C$2,{"Apr","May","Jun","Jul","Aug","Sep","Oct","Nov","Dec","Jan","Feb","Mar"},0)-1))=""),"–",IF(INDEX(Trends!$C$13:$N$13,MATCH($C$2,{"Apr","May","Jun","Jul","Aug","Sep","Oct","Nov","Dec","Jan","Feb","Mar"},0))&gt;IF(MATCH($C$2,{"Apr","May","Jun","Jul","Aug","Sep","Oct","Nov","Dec","Jan","Feb","Mar"},0)&lt;=1,INDEX(Trends!$C$13:$N$13,MATCH($C$2,{"Apr","May","Jun","Jul","Aug","Sep","Oct","Nov","Dec","Jan","Feb","Mar"},0)),INDEX(Trends!$C$13:$N$13,MATCH($C$2,{"Apr","May","Jun","Jul","Aug","Sep","Oct","Nov","Dec","Jan","Feb","Mar"},0)-1))+2,"↑ up",IF(INDEX(Trends!$C$13:$N$13,MATCH($C$2,{"Apr","May","Jun","Jul","Aug","Sep","Oct","Nov","Dec","Jan","Feb","Mar"},0))&lt;IF(MATCH($C$2,{"Apr","May","Jun","Jul","Aug","Sep","Oct","Nov","Dec","Jan","Feb","Mar"},0)&lt;=1,INDEX(Trends!$C$13:$N$13,MATCH($C$2,{"Apr","May","Jun","Jul","Aug","Sep","Oct","Nov","Dec","Jan","Feb","Mar"},0)),INDEX(Trends!$C$13:$N$13,MATCH($C$2,{"Apr","May","Jun","Jul","Aug","Sep","Oct","Nov","Dec","Jan","Feb","Mar"},0)-1))-2,"↓ down","→ flat"))),"–")</f>
        <v>→ flat</v>
      </c>
      <c r="M18" s="25" t="str">
        <f>IFERROR(IF(MIN('KRA G - Agriculture, Horticult'!$U$5:$U$14)&lt;0.7,INDEX('KRA G - Agriculture, Horticult'!$B$5:$B$14,MATCH(MIN('KRA G - Agriculture, Horticult'!$U$5:$U$14),'KRA G - Agriculture, Horticult'!$U$5:$U$14,0)),"–"),"–")</f>
        <v>Farmer Field Demonstration Plots Active</v>
      </c>
      <c r="N18" s="26" t="s">
        <v>79</v>
      </c>
    </row>
    <row r="19" spans="1:14" ht="37.5" customHeight="1">
      <c r="A19" s="15">
        <v>10</v>
      </c>
      <c r="B19" s="16" t="s">
        <v>96</v>
      </c>
      <c r="C19" s="17" t="s">
        <v>97</v>
      </c>
      <c r="D19" s="18">
        <v>6</v>
      </c>
      <c r="E19" s="18">
        <v>8</v>
      </c>
      <c r="F19" s="19">
        <f>COUNTIF('KRA C - Convergence &amp; Saturati'!$V$5:$V$12,"GREEN")</f>
        <v>1</v>
      </c>
      <c r="G19" s="20">
        <f>COUNTIF('KRA C - Convergence &amp; Saturati'!$V$5:$V$12,"YELLOW")</f>
        <v>0</v>
      </c>
      <c r="H19" s="21">
        <f>COUNTIF('KRA C - Convergence &amp; Saturati'!$V$5:$V$12,"RED")</f>
        <v>7</v>
      </c>
      <c r="I19" s="22">
        <f>IFERROR(AVERAGEIF('KRA C - Convergence &amp; Saturati'!$U$5:$U$12,"&gt;=0"),0)</f>
        <v>0.125</v>
      </c>
      <c r="J19" s="23">
        <f>IFERROR(MIN(100,AVERAGEIF('KRA C - Convergence &amp; Saturati'!$U$5:$U$12,"&gt;=0")*100),0)</f>
        <v>12.5</v>
      </c>
      <c r="K19" s="15" t="str">
        <f t="shared" si="0"/>
        <v>RED</v>
      </c>
      <c r="L19" s="24" t="str">
        <f>IFERROR(IF(OR(INDEX(Trends!$C$14:$N$14,MATCH($C$2,{"Apr","May","Jun","Jul","Aug","Sep","Oct","Nov","Dec","Jan","Feb","Mar"},0))="",IF(MATCH($C$2,{"Apr","May","Jun","Jul","Aug","Sep","Oct","Nov","Dec","Jan","Feb","Mar"},0)&lt;=1,INDEX(Trends!$C$14:$N$14,MATCH($C$2,{"Apr","May","Jun","Jul","Aug","Sep","Oct","Nov","Dec","Jan","Feb","Mar"},0)),INDEX(Trends!$C$14:$N$14,MATCH($C$2,{"Apr","May","Jun","Jul","Aug","Sep","Oct","Nov","Dec","Jan","Feb","Mar"},0)-1))=""),"–",IF(INDEX(Trends!$C$14:$N$14,MATCH($C$2,{"Apr","May","Jun","Jul","Aug","Sep","Oct","Nov","Dec","Jan","Feb","Mar"},0))&gt;IF(MATCH($C$2,{"Apr","May","Jun","Jul","Aug","Sep","Oct","Nov","Dec","Jan","Feb","Mar"},0)&lt;=1,INDEX(Trends!$C$14:$N$14,MATCH($C$2,{"Apr","May","Jun","Jul","Aug","Sep","Oct","Nov","Dec","Jan","Feb","Mar"},0)),INDEX(Trends!$C$14:$N$14,MATCH($C$2,{"Apr","May","Jun","Jul","Aug","Sep","Oct","Nov","Dec","Jan","Feb","Mar"},0)-1))+2,"↑ up",IF(INDEX(Trends!$C$14:$N$14,MATCH($C$2,{"Apr","May","Jun","Jul","Aug","Sep","Oct","Nov","Dec","Jan","Feb","Mar"},0))&lt;IF(MATCH($C$2,{"Apr","May","Jun","Jul","Aug","Sep","Oct","Nov","Dec","Jan","Feb","Mar"},0)&lt;=1,INDEX(Trends!$C$14:$N$14,MATCH($C$2,{"Apr","May","Jun","Jul","Aug","Sep","Oct","Nov","Dec","Jan","Feb","Mar"},0)),INDEX(Trends!$C$14:$N$14,MATCH($C$2,{"Apr","May","Jun","Jul","Aug","Sep","Oct","Nov","Dec","Jan","Feb","Mar"},0)-1))-2,"↓ down","→ flat"))),"–")</f>
        <v>→ flat</v>
      </c>
      <c r="M19" s="25" t="str">
        <f>IFERROR(IF(MIN('KRA C - Convergence &amp; Saturati'!$U$5:$U$12)&lt;0.7,INDEX('KRA C - Convergence &amp; Saturati'!$B$5:$B$12,MATCH(MIN('KRA C - Convergence &amp; Saturati'!$U$5:$U$12),'KRA C - Convergence &amp; Saturati'!$U$5:$U$12,0)),"–"),"–")</f>
        <v>Saturation Villages Where Camp Held (cumulative)</v>
      </c>
      <c r="N19" s="26" t="s">
        <v>79</v>
      </c>
    </row>
    <row r="20" spans="1:14" ht="37.5" customHeight="1">
      <c r="A20" s="15">
        <v>11</v>
      </c>
      <c r="B20" s="16" t="s">
        <v>98</v>
      </c>
      <c r="C20" s="17" t="s">
        <v>99</v>
      </c>
      <c r="D20" s="18">
        <v>6</v>
      </c>
      <c r="E20" s="18">
        <v>5</v>
      </c>
      <c r="F20" s="19">
        <f>COUNTIF('KRA R - Revenue, Land &amp; Citize'!$V$5:$V$9,"GREEN")</f>
        <v>1</v>
      </c>
      <c r="G20" s="20">
        <f>COUNTIF('KRA R - Revenue, Land &amp; Citize'!$V$5:$V$9,"YELLOW")</f>
        <v>0</v>
      </c>
      <c r="H20" s="21">
        <f>COUNTIF('KRA R - Revenue, Land &amp; Citize'!$V$5:$V$9,"RED")</f>
        <v>4</v>
      </c>
      <c r="I20" s="22">
        <f>IFERROR(AVERAGEIF('KRA R - Revenue, Land &amp; Citize'!$U$5:$U$9,"&gt;=0"),0)</f>
        <v>0.3</v>
      </c>
      <c r="J20" s="23">
        <f>IFERROR(MIN(100,AVERAGEIF('KRA R - Revenue, Land &amp; Citize'!$U$5:$U$9,"&gt;=0")*100),0)</f>
        <v>30</v>
      </c>
      <c r="K20" s="15" t="str">
        <f t="shared" si="0"/>
        <v>RED</v>
      </c>
      <c r="L20" s="24" t="str">
        <f>IFERROR(IF(OR(INDEX(Trends!$C$15:$N$15,MATCH($C$2,{"Apr","May","Jun","Jul","Aug","Sep","Oct","Nov","Dec","Jan","Feb","Mar"},0))="",IF(MATCH($C$2,{"Apr","May","Jun","Jul","Aug","Sep","Oct","Nov","Dec","Jan","Feb","Mar"},0)&lt;=1,INDEX(Trends!$C$15:$N$15,MATCH($C$2,{"Apr","May","Jun","Jul","Aug","Sep","Oct","Nov","Dec","Jan","Feb","Mar"},0)),INDEX(Trends!$C$15:$N$15,MATCH($C$2,{"Apr","May","Jun","Jul","Aug","Sep","Oct","Nov","Dec","Jan","Feb","Mar"},0)-1))=""),"–",IF(INDEX(Trends!$C$15:$N$15,MATCH($C$2,{"Apr","May","Jun","Jul","Aug","Sep","Oct","Nov","Dec","Jan","Feb","Mar"},0))&gt;IF(MATCH($C$2,{"Apr","May","Jun","Jul","Aug","Sep","Oct","Nov","Dec","Jan","Feb","Mar"},0)&lt;=1,INDEX(Trends!$C$15:$N$15,MATCH($C$2,{"Apr","May","Jun","Jul","Aug","Sep","Oct","Nov","Dec","Jan","Feb","Mar"},0)),INDEX(Trends!$C$15:$N$15,MATCH($C$2,{"Apr","May","Jun","Jul","Aug","Sep","Oct","Nov","Dec","Jan","Feb","Mar"},0)-1))+2,"↑ up",IF(INDEX(Trends!$C$15:$N$15,MATCH($C$2,{"Apr","May","Jun","Jul","Aug","Sep","Oct","Nov","Dec","Jan","Feb","Mar"},0))&lt;IF(MATCH($C$2,{"Apr","May","Jun","Jul","Aug","Sep","Oct","Nov","Dec","Jan","Feb","Mar"},0)&lt;=1,INDEX(Trends!$C$15:$N$15,MATCH($C$2,{"Apr","May","Jun","Jul","Aug","Sep","Oct","Nov","Dec","Jan","Feb","Mar"},0)),INDEX(Trends!$C$15:$N$15,MATCH($C$2,{"Apr","May","Jun","Jul","Aug","Sep","Oct","Nov","Dec","Jan","Feb","Mar"},0)-1))-2,"↓ down","→ flat"))),"–")</f>
        <v>→ flat</v>
      </c>
      <c r="M20" s="25" t="str">
        <f>IFERROR(IF(MIN('KRA R - Revenue, Land &amp; Citize'!$U$5:$U$9)&lt;0.7,INDEX('KRA R - Revenue, Land &amp; Citize'!$B$5:$B$9,MATCH(MIN('KRA R - Revenue, Land &amp; Citize'!$U$5:$U$9),'KRA R - Revenue, Land &amp; Citize'!$U$5:$U$9,0)),"–"),"–")</f>
        <v>Land Mutation Cases Disposed Within 30 Days</v>
      </c>
      <c r="N20" s="26" t="s">
        <v>79</v>
      </c>
    </row>
    <row r="21" spans="1:14" ht="37.5" customHeight="1">
      <c r="A21" s="15">
        <v>12</v>
      </c>
      <c r="B21" s="16" t="s">
        <v>100</v>
      </c>
      <c r="C21" s="17" t="s">
        <v>101</v>
      </c>
      <c r="D21" s="18">
        <v>6</v>
      </c>
      <c r="E21" s="18">
        <v>12</v>
      </c>
      <c r="F21" s="19">
        <f>COUNTIF('KRA J - Jan Suvidha Branch'!$V$5:$V$16,"GREEN")</f>
        <v>2</v>
      </c>
      <c r="G21" s="20">
        <f>COUNTIF('KRA J - Jan Suvidha Branch'!$V$5:$V$16,"YELLOW")</f>
        <v>0</v>
      </c>
      <c r="H21" s="21">
        <f>COUNTIF('KRA J - Jan Suvidha Branch'!$V$5:$V$16,"RED")</f>
        <v>10</v>
      </c>
      <c r="I21" s="22">
        <f>IFERROR(AVERAGEIF('KRA J - Jan Suvidha Branch'!$U$5:$U$16,"&gt;=0"),0)</f>
        <v>0.25</v>
      </c>
      <c r="J21" s="23">
        <f>IFERROR(MIN(100,AVERAGEIF('KRA J - Jan Suvidha Branch'!$U$5:$U$16,"&gt;=0")*100),0)</f>
        <v>25</v>
      </c>
      <c r="K21" s="15" t="str">
        <f t="shared" si="0"/>
        <v>RED</v>
      </c>
      <c r="L21" s="24" t="str">
        <f>IFERROR(IF(OR(INDEX(Trends!$C$16:$N$16,MATCH($C$2,{"Apr","May","Jun","Jul","Aug","Sep","Oct","Nov","Dec","Jan","Feb","Mar"},0))="",IF(MATCH($C$2,{"Apr","May","Jun","Jul","Aug","Sep","Oct","Nov","Dec","Jan","Feb","Mar"},0)&lt;=1,INDEX(Trends!$C$16:$N$16,MATCH($C$2,{"Apr","May","Jun","Jul","Aug","Sep","Oct","Nov","Dec","Jan","Feb","Mar"},0)),INDEX(Trends!$C$16:$N$16,MATCH($C$2,{"Apr","May","Jun","Jul","Aug","Sep","Oct","Nov","Dec","Jan","Feb","Mar"},0)-1))=""),"–",IF(INDEX(Trends!$C$16:$N$16,MATCH($C$2,{"Apr","May","Jun","Jul","Aug","Sep","Oct","Nov","Dec","Jan","Feb","Mar"},0))&gt;IF(MATCH($C$2,{"Apr","May","Jun","Jul","Aug","Sep","Oct","Nov","Dec","Jan","Feb","Mar"},0)&lt;=1,INDEX(Trends!$C$16:$N$16,MATCH($C$2,{"Apr","May","Jun","Jul","Aug","Sep","Oct","Nov","Dec","Jan","Feb","Mar"},0)),INDEX(Trends!$C$16:$N$16,MATCH($C$2,{"Apr","May","Jun","Jul","Aug","Sep","Oct","Nov","Dec","Jan","Feb","Mar"},0)-1))+2,"↑ up",IF(INDEX(Trends!$C$16:$N$16,MATCH($C$2,{"Apr","May","Jun","Jul","Aug","Sep","Oct","Nov","Dec","Jan","Feb","Mar"},0))&lt;IF(MATCH($C$2,{"Apr","May","Jun","Jul","Aug","Sep","Oct","Nov","Dec","Jan","Feb","Mar"},0)&lt;=1,INDEX(Trends!$C$16:$N$16,MATCH($C$2,{"Apr","May","Jun","Jul","Aug","Sep","Oct","Nov","Dec","Jan","Feb","Mar"},0)),INDEX(Trends!$C$16:$N$16,MATCH($C$2,{"Apr","May","Jun","Jul","Aug","Sep","Oct","Nov","Dec","Jan","Feb","Mar"},0)-1))-2,"↓ down","→ flat"))),"–")</f>
        <v>→ flat</v>
      </c>
      <c r="M21" s="25" t="str">
        <f>IFERROR(IF(MIN('KRA J - Jan Suvidha Branch'!$U$5:$U$16)&lt;0.7,INDEX('KRA J - Jan Suvidha Branch'!$B$5:$B$16,MATCH(MIN('KRA J - Jan Suvidha Branch'!$U$5:$U$16),'KRA J - Jan Suvidha Branch'!$U$5:$U$16,0)),"–"),"–")</f>
        <v>ST (Scheduled Tribe) Certificate Issued Within 15 Days</v>
      </c>
      <c r="N21" s="26" t="s">
        <v>79</v>
      </c>
    </row>
    <row r="22" spans="1:14" ht="31.5" customHeight="1">
      <c r="A22" s="15">
        <v>13</v>
      </c>
      <c r="B22" s="16" t="s">
        <v>102</v>
      </c>
      <c r="C22" s="17" t="s">
        <v>103</v>
      </c>
      <c r="D22" s="18">
        <v>4</v>
      </c>
      <c r="E22" s="18">
        <v>6</v>
      </c>
      <c r="F22" s="19">
        <f>COUNTIF('KRA M - Disaster Management &amp; '!$V$5:$V$10,"GREEN")</f>
        <v>0</v>
      </c>
      <c r="G22" s="20">
        <f>COUNTIF('KRA M - Disaster Management &amp; '!$V$5:$V$10,"YELLOW")</f>
        <v>0</v>
      </c>
      <c r="H22" s="21">
        <f>COUNTIF('KRA M - Disaster Management &amp; '!$V$5:$V$10,"RED")</f>
        <v>6</v>
      </c>
      <c r="I22" s="22">
        <f>IFERROR(AVERAGEIF('KRA M - Disaster Management &amp; '!$U$5:$U$10,"&gt;=0"),0)</f>
        <v>0</v>
      </c>
      <c r="J22" s="23">
        <f>IFERROR(MIN(100,AVERAGEIF('KRA M - Disaster Management &amp; '!$U$5:$U$10,"&gt;=0")*100),0)</f>
        <v>0</v>
      </c>
      <c r="K22" s="15" t="str">
        <f t="shared" si="0"/>
        <v>RED</v>
      </c>
      <c r="L22" s="24" t="str">
        <f>IFERROR(IF(OR(INDEX(Trends!$C$17:$N$17,MATCH($C$2,{"Apr","May","Jun","Jul","Aug","Sep","Oct","Nov","Dec","Jan","Feb","Mar"},0))="",IF(MATCH($C$2,{"Apr","May","Jun","Jul","Aug","Sep","Oct","Nov","Dec","Jan","Feb","Mar"},0)&lt;=1,INDEX(Trends!$C$17:$N$17,MATCH($C$2,{"Apr","May","Jun","Jul","Aug","Sep","Oct","Nov","Dec","Jan","Feb","Mar"},0)),INDEX(Trends!$C$17:$N$17,MATCH($C$2,{"Apr","May","Jun","Jul","Aug","Sep","Oct","Nov","Dec","Jan","Feb","Mar"},0)-1))=""),"–",IF(INDEX(Trends!$C$17:$N$17,MATCH($C$2,{"Apr","May","Jun","Jul","Aug","Sep","Oct","Nov","Dec","Jan","Feb","Mar"},0))&gt;IF(MATCH($C$2,{"Apr","May","Jun","Jul","Aug","Sep","Oct","Nov","Dec","Jan","Feb","Mar"},0)&lt;=1,INDEX(Trends!$C$17:$N$17,MATCH($C$2,{"Apr","May","Jun","Jul","Aug","Sep","Oct","Nov","Dec","Jan","Feb","Mar"},0)),INDEX(Trends!$C$17:$N$17,MATCH($C$2,{"Apr","May","Jun","Jul","Aug","Sep","Oct","Nov","Dec","Jan","Feb","Mar"},0)-1))+2,"↑ up",IF(INDEX(Trends!$C$17:$N$17,MATCH($C$2,{"Apr","May","Jun","Jul","Aug","Sep","Oct","Nov","Dec","Jan","Feb","Mar"},0))&lt;IF(MATCH($C$2,{"Apr","May","Jun","Jul","Aug","Sep","Oct","Nov","Dec","Jan","Feb","Mar"},0)&lt;=1,INDEX(Trends!$C$17:$N$17,MATCH($C$2,{"Apr","May","Jun","Jul","Aug","Sep","Oct","Nov","Dec","Jan","Feb","Mar"},0)),INDEX(Trends!$C$17:$N$17,MATCH($C$2,{"Apr","May","Jun","Jul","Aug","Sep","Oct","Nov","Dec","Jan","Feb","Mar"},0)-1))-2,"↓ down","→ flat"))),"–")</f>
        <v>→ flat</v>
      </c>
      <c r="M22" s="25" t="str">
        <f>IFERROR(IF(MIN('KRA M - Disaster Management &amp; '!$U$5:$U$10)&lt;0.7,INDEX('KRA M - Disaster Management &amp; '!$B$5:$B$10,MATCH(MIN('KRA M - Disaster Management &amp; '!$U$5:$U$10),'KRA M - Disaster Management &amp; '!$U$5:$U$10,0)),"–"),"–")</f>
        <v>Disaster Preparedness Drills Conducted</v>
      </c>
      <c r="N22" s="26" t="s">
        <v>79</v>
      </c>
    </row>
    <row r="23" spans="1:14" ht="23.25" customHeight="1">
      <c r="A23" s="15">
        <v>14</v>
      </c>
      <c r="B23" s="16" t="s">
        <v>104</v>
      </c>
      <c r="C23" s="17" t="s">
        <v>105</v>
      </c>
      <c r="D23" s="18">
        <v>6</v>
      </c>
      <c r="E23" s="18">
        <v>10</v>
      </c>
      <c r="F23" s="19">
        <f>COUNTIF('KRA P - Process, People &amp; Citi'!$V$5:$V$14,"GREEN")</f>
        <v>1</v>
      </c>
      <c r="G23" s="20">
        <f>COUNTIF('KRA P - Process, People &amp; Citi'!$V$5:$V$14,"YELLOW")</f>
        <v>0</v>
      </c>
      <c r="H23" s="21">
        <f>COUNTIF('KRA P - Process, People &amp; Citi'!$V$5:$V$14,"RED")</f>
        <v>9</v>
      </c>
      <c r="I23" s="22">
        <f>IFERROR(AVERAGEIF('KRA P - Process, People &amp; Citi'!$U$5:$U$14,"&gt;=0"),0)</f>
        <v>0.15</v>
      </c>
      <c r="J23" s="23">
        <f>IFERROR(MIN(100,AVERAGEIF('KRA P - Process, People &amp; Citi'!$U$5:$U$14,"&gt;=0")*100),0)</f>
        <v>15</v>
      </c>
      <c r="K23" s="15" t="str">
        <f t="shared" si="0"/>
        <v>RED</v>
      </c>
      <c r="L23" s="24" t="str">
        <f>IFERROR(IF(OR(INDEX(Trends!$C$18:$N$18,MATCH($C$2,{"Apr","May","Jun","Jul","Aug","Sep","Oct","Nov","Dec","Jan","Feb","Mar"},0))="",IF(MATCH($C$2,{"Apr","May","Jun","Jul","Aug","Sep","Oct","Nov","Dec","Jan","Feb","Mar"},0)&lt;=1,INDEX(Trends!$C$18:$N$18,MATCH($C$2,{"Apr","May","Jun","Jul","Aug","Sep","Oct","Nov","Dec","Jan","Feb","Mar"},0)),INDEX(Trends!$C$18:$N$18,MATCH($C$2,{"Apr","May","Jun","Jul","Aug","Sep","Oct","Nov","Dec","Jan","Feb","Mar"},0)-1))=""),"–",IF(INDEX(Trends!$C$18:$N$18,MATCH($C$2,{"Apr","May","Jun","Jul","Aug","Sep","Oct","Nov","Dec","Jan","Feb","Mar"},0))&gt;IF(MATCH($C$2,{"Apr","May","Jun","Jul","Aug","Sep","Oct","Nov","Dec","Jan","Feb","Mar"},0)&lt;=1,INDEX(Trends!$C$18:$N$18,MATCH($C$2,{"Apr","May","Jun","Jul","Aug","Sep","Oct","Nov","Dec","Jan","Feb","Mar"},0)),INDEX(Trends!$C$18:$N$18,MATCH($C$2,{"Apr","May","Jun","Jul","Aug","Sep","Oct","Nov","Dec","Jan","Feb","Mar"},0)-1))+2,"↑ up",IF(INDEX(Trends!$C$18:$N$18,MATCH($C$2,{"Apr","May","Jun","Jul","Aug","Sep","Oct","Nov","Dec","Jan","Feb","Mar"},0))&lt;IF(MATCH($C$2,{"Apr","May","Jun","Jul","Aug","Sep","Oct","Nov","Dec","Jan","Feb","Mar"},0)&lt;=1,INDEX(Trends!$C$18:$N$18,MATCH($C$2,{"Apr","May","Jun","Jul","Aug","Sep","Oct","Nov","Dec","Jan","Feb","Mar"},0)),INDEX(Trends!$C$18:$N$18,MATCH($C$2,{"Apr","May","Jun","Jul","Aug","Sep","Oct","Nov","Dec","Jan","Feb","Mar"},0)-1))-2,"↓ down","→ flat"))),"–")</f>
        <v>→ flat</v>
      </c>
      <c r="M23" s="25" t="str">
        <f>IFERROR(IF(MIN('KRA P - Process, People &amp; Citi'!$U$5:$U$14)&lt;0.7,INDEX('KRA P - Process, People &amp; Citi'!$B$5:$B$14,MATCH(MIN('KRA P - Process, People &amp; Citi'!$U$5:$U$14),'KRA P - Process, People &amp; Citi'!$U$5:$U$14,0)),"–"),"–")</f>
        <v>DC Field Days Completed</v>
      </c>
      <c r="N23" s="26" t="s">
        <v>79</v>
      </c>
    </row>
    <row r="24" spans="1:14" ht="18" customHeight="1">
      <c r="A24" s="27"/>
      <c r="B24" s="28" t="s">
        <v>106</v>
      </c>
      <c r="C24" s="27"/>
      <c r="D24" s="29">
        <v>106</v>
      </c>
      <c r="E24" s="29">
        <v>124</v>
      </c>
      <c r="F24" s="30">
        <f>SUM(F10:F23)</f>
        <v>18</v>
      </c>
      <c r="G24" s="31">
        <f>SUM(G10:G23)</f>
        <v>0</v>
      </c>
      <c r="H24" s="32">
        <f>SUM(H10:H23)</f>
        <v>106</v>
      </c>
      <c r="J24" s="33">
        <f>IFERROR(SUMPRODUCT(J10:J23,D10:D23)/SUM(D10:D23),0)</f>
        <v>19.638364779874212</v>
      </c>
      <c r="K24" s="29" t="str">
        <f t="shared" si="0"/>
        <v>RED</v>
      </c>
      <c r="L24" s="27"/>
      <c r="M24" s="27"/>
      <c r="N24" s="27"/>
    </row>
    <row r="25" spans="1:14" ht="36" customHeight="1">
      <c r="A25" s="34"/>
    </row>
    <row r="26" spans="1:14" ht="15" customHeight="1">
      <c r="A26" s="61" t="s">
        <v>107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</row>
  </sheetData>
  <mergeCells count="9">
    <mergeCell ref="A5:B7"/>
    <mergeCell ref="G5:H5"/>
    <mergeCell ref="A8:N8"/>
    <mergeCell ref="A26:N26"/>
    <mergeCell ref="A1:N1"/>
    <mergeCell ref="A2:B2"/>
    <mergeCell ref="D2:N2"/>
    <mergeCell ref="A4:B4"/>
    <mergeCell ref="G4:H4"/>
  </mergeCells>
  <conditionalFormatting sqref="K10:K24">
    <cfRule type="cellIs" dxfId="44" priority="2" operator="equal">
      <formula>"GREEN"</formula>
    </cfRule>
    <cfRule type="cellIs" dxfId="43" priority="3" operator="equal">
      <formula>"YELLOW"</formula>
    </cfRule>
    <cfRule type="cellIs" dxfId="42" priority="4" operator="equal">
      <formula>"RED"</formula>
    </cfRule>
  </conditionalFormatting>
  <dataValidations count="1">
    <dataValidation type="list" sqref="C2">
      <formula1>"Apr,May,Jun,Jul,Aug,Sep,Oct,Nov,Dec,Jan,Feb,Mar"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9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7" sqref="A4:R16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67" t="s">
        <v>108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23" ht="21.75" customHeight="1">
      <c r="A2" s="68" t="s">
        <v>109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35" t="s">
        <v>63</v>
      </c>
      <c r="B4" s="35" t="s">
        <v>110</v>
      </c>
      <c r="C4" s="35" t="s">
        <v>111</v>
      </c>
      <c r="D4" s="35" t="s">
        <v>112</v>
      </c>
      <c r="E4" s="35" t="s">
        <v>113</v>
      </c>
      <c r="F4" s="35" t="s">
        <v>114</v>
      </c>
      <c r="G4" s="35" t="s">
        <v>55</v>
      </c>
      <c r="H4" s="35" t="s">
        <v>115</v>
      </c>
      <c r="I4" s="35" t="s">
        <v>116</v>
      </c>
      <c r="J4" s="35" t="s">
        <v>117</v>
      </c>
      <c r="K4" s="35" t="s">
        <v>118</v>
      </c>
      <c r="L4" s="35" t="s">
        <v>119</v>
      </c>
      <c r="M4" s="35" t="s">
        <v>120</v>
      </c>
      <c r="N4" s="35" t="s">
        <v>121</v>
      </c>
      <c r="O4" s="35" t="s">
        <v>122</v>
      </c>
      <c r="P4" s="35" t="s">
        <v>123</v>
      </c>
      <c r="Q4" s="35" t="s">
        <v>124</v>
      </c>
      <c r="R4" s="35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129</v>
      </c>
      <c r="C5" s="18" t="s">
        <v>130</v>
      </c>
      <c r="D5" s="38">
        <v>80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6" si="0">IFERROR(IF(T5="","",IF(LEFT(E5,1)="↑",IF(D5=0,"",MIN(1.5,T5/D5)),IF(T5=0,IF(D5=0,1,1.5),MIN(1.5,D5/MAX(T5,0.0001))))),"")</f>
        <v>0</v>
      </c>
      <c r="V5" s="15" t="str">
        <f t="shared" ref="V5:V16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133</v>
      </c>
      <c r="C6" s="18" t="s">
        <v>130</v>
      </c>
      <c r="D6" s="38">
        <v>65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134</v>
      </c>
      <c r="C7" s="18" t="s">
        <v>130</v>
      </c>
      <c r="D7" s="38">
        <v>90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135</v>
      </c>
      <c r="C8" s="18" t="s">
        <v>136</v>
      </c>
      <c r="D8" s="38">
        <v>40</v>
      </c>
      <c r="E8" s="26" t="s">
        <v>131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137</v>
      </c>
      <c r="C9" s="18" t="s">
        <v>130</v>
      </c>
      <c r="D9" s="38">
        <v>75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138</v>
      </c>
      <c r="C10" s="18" t="s">
        <v>130</v>
      </c>
      <c r="D10" s="38">
        <v>85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139</v>
      </c>
      <c r="C11" s="18" t="s">
        <v>140</v>
      </c>
      <c r="D11" s="38">
        <v>0</v>
      </c>
      <c r="E11" s="26" t="s">
        <v>141</v>
      </c>
      <c r="F11" s="18" t="s">
        <v>132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1</v>
      </c>
      <c r="V11" s="15" t="str">
        <f t="shared" si="1"/>
        <v>GREEN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142</v>
      </c>
      <c r="C12" s="18" t="s">
        <v>136</v>
      </c>
      <c r="D12" s="38">
        <v>200</v>
      </c>
      <c r="E12" s="26" t="s">
        <v>131</v>
      </c>
      <c r="F12" s="18" t="s">
        <v>132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0</v>
      </c>
      <c r="V12" s="15" t="str">
        <f t="shared" si="1"/>
        <v>RED</v>
      </c>
      <c r="W12" s="18" t="str">
        <f ca="1">IFERROR(IF(T12="","",AVERAGE(OFFSET(G12,0,MAX(0,MATCH(Dashboard!$C$2,{"Apr","May","Jun","Jul","Aug","Sep","Oct","Nov","Dec","Jan","Feb","Mar"},0)-3),1,3))),"")</f>
        <v/>
      </c>
    </row>
    <row r="13" spans="1:23" ht="34.5" customHeight="1">
      <c r="A13" s="15">
        <v>9</v>
      </c>
      <c r="B13" s="37" t="s">
        <v>143</v>
      </c>
      <c r="C13" s="18" t="s">
        <v>130</v>
      </c>
      <c r="D13" s="38">
        <v>60</v>
      </c>
      <c r="E13" s="26" t="s">
        <v>131</v>
      </c>
      <c r="F13" s="18" t="s">
        <v>132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T13" s="15">
        <f>IFERROR(INDEX(G13:R13,MATCH(Dashboard!$C$2,{"Apr","May","Jun","Jul","Aug","Sep","Oct","Nov","Dec","Jan","Feb","Mar"},0)),"")</f>
        <v>0</v>
      </c>
      <c r="U13" s="22">
        <f t="shared" si="0"/>
        <v>0</v>
      </c>
      <c r="V13" s="15" t="str">
        <f t="shared" si="1"/>
        <v>RED</v>
      </c>
      <c r="W13" s="18" t="str">
        <f ca="1">IFERROR(IF(T13="","",AVERAGE(OFFSET(G13,0,MAX(0,MATCH(Dashboard!$C$2,{"Apr","May","Jun","Jul","Aug","Sep","Oct","Nov","Dec","Jan","Feb","Mar"},0)-3),1,3))),"")</f>
        <v/>
      </c>
    </row>
    <row r="14" spans="1:23" ht="34.5" customHeight="1">
      <c r="A14" s="15">
        <v>10</v>
      </c>
      <c r="B14" s="37" t="s">
        <v>144</v>
      </c>
      <c r="C14" s="18" t="s">
        <v>145</v>
      </c>
      <c r="D14" s="38">
        <v>150</v>
      </c>
      <c r="E14" s="26" t="s">
        <v>131</v>
      </c>
      <c r="F14" s="18" t="s">
        <v>132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T14" s="15">
        <f>IFERROR(INDEX(G14:R14,MATCH(Dashboard!$C$2,{"Apr","May","Jun","Jul","Aug","Sep","Oct","Nov","Dec","Jan","Feb","Mar"},0)),"")</f>
        <v>0</v>
      </c>
      <c r="U14" s="22">
        <f t="shared" si="0"/>
        <v>0</v>
      </c>
      <c r="V14" s="15" t="str">
        <f t="shared" si="1"/>
        <v>RED</v>
      </c>
      <c r="W14" s="18" t="str">
        <f ca="1">IFERROR(IF(T14="","",AVERAGE(OFFSET(G14,0,MAX(0,MATCH(Dashboard!$C$2,{"Apr","May","Jun","Jul","Aug","Sep","Oct","Nov","Dec","Jan","Feb","Mar"},0)-3),1,3))),"")</f>
        <v/>
      </c>
    </row>
    <row r="15" spans="1:23" ht="34.5" customHeight="1">
      <c r="A15" s="15">
        <v>11</v>
      </c>
      <c r="B15" s="37" t="s">
        <v>146</v>
      </c>
      <c r="C15" s="18" t="s">
        <v>136</v>
      </c>
      <c r="D15" s="38">
        <v>0</v>
      </c>
      <c r="E15" s="26" t="s">
        <v>141</v>
      </c>
      <c r="F15" s="18" t="s">
        <v>132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T15" s="15">
        <f>IFERROR(INDEX(G15:R15,MATCH(Dashboard!$C$2,{"Apr","May","Jun","Jul","Aug","Sep","Oct","Nov","Dec","Jan","Feb","Mar"},0)),"")</f>
        <v>0</v>
      </c>
      <c r="U15" s="22">
        <f t="shared" si="0"/>
        <v>1</v>
      </c>
      <c r="V15" s="15" t="str">
        <f t="shared" si="1"/>
        <v>GREEN</v>
      </c>
      <c r="W15" s="18" t="str">
        <f ca="1">IFERROR(IF(T15="","",AVERAGE(OFFSET(G15,0,MAX(0,MATCH(Dashboard!$C$2,{"Apr","May","Jun","Jul","Aug","Sep","Oct","Nov","Dec","Jan","Feb","Mar"},0)-3),1,3))),"")</f>
        <v/>
      </c>
    </row>
    <row r="16" spans="1:23" ht="34.5" customHeight="1">
      <c r="A16" s="15">
        <v>12</v>
      </c>
      <c r="B16" s="37" t="s">
        <v>147</v>
      </c>
      <c r="C16" s="18" t="s">
        <v>136</v>
      </c>
      <c r="D16" s="38">
        <v>2</v>
      </c>
      <c r="E16" s="26" t="s">
        <v>141</v>
      </c>
      <c r="F16" s="18" t="s">
        <v>132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T16" s="15">
        <f>IFERROR(INDEX(G16:R16,MATCH(Dashboard!$C$2,{"Apr","May","Jun","Jul","Aug","Sep","Oct","Nov","Dec","Jan","Feb","Mar"},0)),"")</f>
        <v>0</v>
      </c>
      <c r="U16" s="22">
        <f t="shared" si="0"/>
        <v>1.5</v>
      </c>
      <c r="V16" s="15" t="str">
        <f t="shared" si="1"/>
        <v>GREEN</v>
      </c>
      <c r="W16" s="18" t="str">
        <f ca="1">IFERROR(IF(T16="","",AVERAGE(OFFSET(G16,0,MAX(0,MATCH(Dashboard!$C$2,{"Apr","May","Jun","Jul","Aug","Sep","Oct","Nov","Dec","Jan","Feb","Mar"},0)-3),1,3))),"")</f>
        <v/>
      </c>
    </row>
    <row r="19" spans="1:18" ht="15" customHeight="1">
      <c r="A19" s="40" t="s">
        <v>148</v>
      </c>
      <c r="B19" s="69" t="s">
        <v>149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</row>
  </sheetData>
  <mergeCells count="3">
    <mergeCell ref="A1:S1"/>
    <mergeCell ref="A2:S2"/>
    <mergeCell ref="B19:R19"/>
  </mergeCells>
  <conditionalFormatting sqref="V5:V16">
    <cfRule type="expression" dxfId="41" priority="2">
      <formula>EXACT(V5,"GREEN")</formula>
    </cfRule>
    <cfRule type="expression" dxfId="40" priority="3">
      <formula>EXACT(V5,"YELLOW")</formula>
    </cfRule>
    <cfRule type="expression" dxfId="39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9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D7" sqref="A4:R16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0" t="s">
        <v>150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23" ht="21.75" customHeight="1">
      <c r="A2" s="68" t="s">
        <v>151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1" t="s">
        <v>63</v>
      </c>
      <c r="B4" s="41" t="s">
        <v>110</v>
      </c>
      <c r="C4" s="41" t="s">
        <v>111</v>
      </c>
      <c r="D4" s="41" t="s">
        <v>112</v>
      </c>
      <c r="E4" s="41" t="s">
        <v>113</v>
      </c>
      <c r="F4" s="41" t="s">
        <v>114</v>
      </c>
      <c r="G4" s="41" t="s">
        <v>55</v>
      </c>
      <c r="H4" s="41" t="s">
        <v>115</v>
      </c>
      <c r="I4" s="41" t="s">
        <v>116</v>
      </c>
      <c r="J4" s="41" t="s">
        <v>117</v>
      </c>
      <c r="K4" s="41" t="s">
        <v>118</v>
      </c>
      <c r="L4" s="41" t="s">
        <v>119</v>
      </c>
      <c r="M4" s="41" t="s">
        <v>120</v>
      </c>
      <c r="N4" s="41" t="s">
        <v>121</v>
      </c>
      <c r="O4" s="41" t="s">
        <v>122</v>
      </c>
      <c r="P4" s="41" t="s">
        <v>123</v>
      </c>
      <c r="Q4" s="41" t="s">
        <v>124</v>
      </c>
      <c r="R4" s="41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152</v>
      </c>
      <c r="C5" s="18" t="s">
        <v>130</v>
      </c>
      <c r="D5" s="38">
        <v>85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6" si="0">IFERROR(IF(T5="","",IF(LEFT(E5,1)="↑",IF(D5=0,"",MIN(1.5,T5/D5)),IF(T5=0,IF(D5=0,1,1.5),MIN(1.5,D5/MAX(T5,0.0001))))),"")</f>
        <v>0</v>
      </c>
      <c r="V5" s="15" t="str">
        <f t="shared" ref="V5:V16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153</v>
      </c>
      <c r="C6" s="18" t="s">
        <v>130</v>
      </c>
      <c r="D6" s="38">
        <v>75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154</v>
      </c>
      <c r="C7" s="18" t="s">
        <v>130</v>
      </c>
      <c r="D7" s="38">
        <v>50</v>
      </c>
      <c r="E7" s="26" t="s">
        <v>131</v>
      </c>
      <c r="F7" s="18" t="s">
        <v>155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156</v>
      </c>
      <c r="C8" s="18" t="s">
        <v>130</v>
      </c>
      <c r="D8" s="38">
        <v>50</v>
      </c>
      <c r="E8" s="26" t="s">
        <v>131</v>
      </c>
      <c r="F8" s="18" t="s">
        <v>155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157</v>
      </c>
      <c r="C9" s="18" t="s">
        <v>130</v>
      </c>
      <c r="D9" s="38">
        <v>95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158</v>
      </c>
      <c r="C10" s="18" t="s">
        <v>130</v>
      </c>
      <c r="D10" s="38">
        <v>95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159</v>
      </c>
      <c r="C11" s="18" t="s">
        <v>130</v>
      </c>
      <c r="D11" s="38">
        <v>70</v>
      </c>
      <c r="E11" s="26" t="s">
        <v>131</v>
      </c>
      <c r="F11" s="18" t="s">
        <v>155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0</v>
      </c>
      <c r="V11" s="15" t="str">
        <f t="shared" si="1"/>
        <v>RED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160</v>
      </c>
      <c r="C12" s="18" t="s">
        <v>130</v>
      </c>
      <c r="D12" s="38">
        <v>75</v>
      </c>
      <c r="E12" s="26" t="s">
        <v>131</v>
      </c>
      <c r="F12" s="18" t="s">
        <v>155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0</v>
      </c>
      <c r="V12" s="15" t="str">
        <f t="shared" si="1"/>
        <v>RED</v>
      </c>
      <c r="W12" s="18" t="str">
        <f ca="1">IFERROR(IF(T12="","",AVERAGE(OFFSET(G12,0,MAX(0,MATCH(Dashboard!$C$2,{"Apr","May","Jun","Jul","Aug","Sep","Oct","Nov","Dec","Jan","Feb","Mar"},0)-3),1,3))),"")</f>
        <v/>
      </c>
    </row>
    <row r="13" spans="1:23" ht="34.5" customHeight="1">
      <c r="A13" s="15">
        <v>9</v>
      </c>
      <c r="B13" s="37" t="s">
        <v>161</v>
      </c>
      <c r="C13" s="18" t="s">
        <v>136</v>
      </c>
      <c r="D13" s="38">
        <v>50</v>
      </c>
      <c r="E13" s="26" t="s">
        <v>131</v>
      </c>
      <c r="F13" s="18" t="s">
        <v>132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T13" s="15">
        <f>IFERROR(INDEX(G13:R13,MATCH(Dashboard!$C$2,{"Apr","May","Jun","Jul","Aug","Sep","Oct","Nov","Dec","Jan","Feb","Mar"},0)),"")</f>
        <v>0</v>
      </c>
      <c r="U13" s="22">
        <f t="shared" si="0"/>
        <v>0</v>
      </c>
      <c r="V13" s="15" t="str">
        <f t="shared" si="1"/>
        <v>RED</v>
      </c>
      <c r="W13" s="18" t="str">
        <f ca="1">IFERROR(IF(T13="","",AVERAGE(OFFSET(G13,0,MAX(0,MATCH(Dashboard!$C$2,{"Apr","May","Jun","Jul","Aug","Sep","Oct","Nov","Dec","Jan","Feb","Mar"},0)-3),1,3))),"")</f>
        <v/>
      </c>
    </row>
    <row r="14" spans="1:23" ht="34.5" customHeight="1">
      <c r="A14" s="15">
        <v>10</v>
      </c>
      <c r="B14" s="37" t="s">
        <v>162</v>
      </c>
      <c r="C14" s="18" t="s">
        <v>136</v>
      </c>
      <c r="D14" s="38">
        <v>100</v>
      </c>
      <c r="E14" s="26" t="s">
        <v>131</v>
      </c>
      <c r="F14" s="18" t="s">
        <v>132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T14" s="15">
        <f>IFERROR(INDEX(G14:R14,MATCH(Dashboard!$C$2,{"Apr","May","Jun","Jul","Aug","Sep","Oct","Nov","Dec","Jan","Feb","Mar"},0)),"")</f>
        <v>0</v>
      </c>
      <c r="U14" s="22">
        <f t="shared" si="0"/>
        <v>0</v>
      </c>
      <c r="V14" s="15" t="str">
        <f t="shared" si="1"/>
        <v>RED</v>
      </c>
      <c r="W14" s="18" t="str">
        <f ca="1">IFERROR(IF(T14="","",AVERAGE(OFFSET(G14,0,MAX(0,MATCH(Dashboard!$C$2,{"Apr","May","Jun","Jul","Aug","Sep","Oct","Nov","Dec","Jan","Feb","Mar"},0)-3),1,3))),"")</f>
        <v/>
      </c>
    </row>
    <row r="15" spans="1:23" ht="34.5" customHeight="1">
      <c r="A15" s="15">
        <v>11</v>
      </c>
      <c r="B15" s="37" t="s">
        <v>163</v>
      </c>
      <c r="C15" s="18" t="s">
        <v>130</v>
      </c>
      <c r="D15" s="38">
        <v>95</v>
      </c>
      <c r="E15" s="26" t="s">
        <v>131</v>
      </c>
      <c r="F15" s="18" t="s">
        <v>132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T15" s="15">
        <f>IFERROR(INDEX(G15:R15,MATCH(Dashboard!$C$2,{"Apr","May","Jun","Jul","Aug","Sep","Oct","Nov","Dec","Jan","Feb","Mar"},0)),"")</f>
        <v>0</v>
      </c>
      <c r="U15" s="22">
        <f t="shared" si="0"/>
        <v>0</v>
      </c>
      <c r="V15" s="15" t="str">
        <f t="shared" si="1"/>
        <v>RED</v>
      </c>
      <c r="W15" s="18" t="str">
        <f ca="1">IFERROR(IF(T15="","",AVERAGE(OFFSET(G15,0,MAX(0,MATCH(Dashboard!$C$2,{"Apr","May","Jun","Jul","Aug","Sep","Oct","Nov","Dec","Jan","Feb","Mar"},0)-3),1,3))),"")</f>
        <v/>
      </c>
    </row>
    <row r="16" spans="1:23" ht="34.5" customHeight="1">
      <c r="A16" s="15">
        <v>12</v>
      </c>
      <c r="B16" s="37" t="s">
        <v>164</v>
      </c>
      <c r="C16" s="18" t="s">
        <v>130</v>
      </c>
      <c r="D16" s="38">
        <v>90</v>
      </c>
      <c r="E16" s="26" t="s">
        <v>131</v>
      </c>
      <c r="F16" s="18" t="s">
        <v>132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T16" s="15">
        <f>IFERROR(INDEX(G16:R16,MATCH(Dashboard!$C$2,{"Apr","May","Jun","Jul","Aug","Sep","Oct","Nov","Dec","Jan","Feb","Mar"},0)),"")</f>
        <v>0</v>
      </c>
      <c r="U16" s="22">
        <f t="shared" si="0"/>
        <v>0</v>
      </c>
      <c r="V16" s="15" t="str">
        <f t="shared" si="1"/>
        <v>RED</v>
      </c>
      <c r="W16" s="18" t="str">
        <f ca="1">IFERROR(IF(T16="","",AVERAGE(OFFSET(G16,0,MAX(0,MATCH(Dashboard!$C$2,{"Apr","May","Jun","Jul","Aug","Sep","Oct","Nov","Dec","Jan","Feb","Mar"},0)-3),1,3))),"")</f>
        <v/>
      </c>
    </row>
    <row r="19" spans="1:18" ht="15" customHeight="1">
      <c r="A19" s="40" t="s">
        <v>148</v>
      </c>
      <c r="B19" s="69" t="s">
        <v>149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</row>
  </sheetData>
  <mergeCells count="3">
    <mergeCell ref="A1:S1"/>
    <mergeCell ref="A2:S2"/>
    <mergeCell ref="B19:R19"/>
  </mergeCells>
  <conditionalFormatting sqref="V5:V16">
    <cfRule type="expression" dxfId="38" priority="2">
      <formula>EXACT(V5,"GREEN")</formula>
    </cfRule>
    <cfRule type="expression" dxfId="37" priority="3">
      <formula>EXACT(V5,"YELLOW")</formula>
    </cfRule>
    <cfRule type="expression" dxfId="36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6"/>
  <sheetViews>
    <sheetView showGridLines="0" workbookViewId="0">
      <pane xSplit="6" ySplit="4" topLeftCell="K5" activePane="bottomRight" state="frozen"/>
      <selection pane="topRight" activeCell="G1" sqref="G1"/>
      <selection pane="bottomLeft" activeCell="A5" sqref="A5"/>
      <selection pane="bottomRight" activeCell="B7" sqref="A4:R13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1" t="s">
        <v>165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23" ht="21.75" customHeight="1">
      <c r="A2" s="68" t="s">
        <v>166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2" t="s">
        <v>63</v>
      </c>
      <c r="B4" s="42" t="s">
        <v>110</v>
      </c>
      <c r="C4" s="42" t="s">
        <v>111</v>
      </c>
      <c r="D4" s="42" t="s">
        <v>112</v>
      </c>
      <c r="E4" s="42" t="s">
        <v>113</v>
      </c>
      <c r="F4" s="42" t="s">
        <v>114</v>
      </c>
      <c r="G4" s="42" t="s">
        <v>55</v>
      </c>
      <c r="H4" s="42" t="s">
        <v>115</v>
      </c>
      <c r="I4" s="42" t="s">
        <v>116</v>
      </c>
      <c r="J4" s="42" t="s">
        <v>117</v>
      </c>
      <c r="K4" s="42" t="s">
        <v>118</v>
      </c>
      <c r="L4" s="42" t="s">
        <v>119</v>
      </c>
      <c r="M4" s="42" t="s">
        <v>120</v>
      </c>
      <c r="N4" s="42" t="s">
        <v>121</v>
      </c>
      <c r="O4" s="42" t="s">
        <v>122</v>
      </c>
      <c r="P4" s="42" t="s">
        <v>123</v>
      </c>
      <c r="Q4" s="42" t="s">
        <v>124</v>
      </c>
      <c r="R4" s="42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167</v>
      </c>
      <c r="C5" s="18" t="s">
        <v>130</v>
      </c>
      <c r="D5" s="38">
        <v>70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3" si="0">IFERROR(IF(T5="","",IF(LEFT(E5,1)="↑",IF(D5=0,"",MIN(1.5,T5/D5)),IF(T5=0,IF(D5=0,1,1.5),MIN(1.5,D5/MAX(T5,0.0001))))),"")</f>
        <v>0</v>
      </c>
      <c r="V5" s="15" t="str">
        <f t="shared" ref="V5:V13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168</v>
      </c>
      <c r="C6" s="18" t="s">
        <v>130</v>
      </c>
      <c r="D6" s="38">
        <v>90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169</v>
      </c>
      <c r="C7" s="18" t="s">
        <v>130</v>
      </c>
      <c r="D7" s="38">
        <v>80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170</v>
      </c>
      <c r="C8" s="18" t="s">
        <v>136</v>
      </c>
      <c r="D8" s="38">
        <v>30</v>
      </c>
      <c r="E8" s="26" t="s">
        <v>131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171</v>
      </c>
      <c r="C9" s="18" t="s">
        <v>130</v>
      </c>
      <c r="D9" s="38">
        <v>95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172</v>
      </c>
      <c r="C10" s="18" t="s">
        <v>136</v>
      </c>
      <c r="D10" s="38">
        <v>20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173</v>
      </c>
      <c r="C11" s="18" t="s">
        <v>130</v>
      </c>
      <c r="D11" s="38">
        <v>5</v>
      </c>
      <c r="E11" s="26" t="s">
        <v>141</v>
      </c>
      <c r="F11" s="18" t="s">
        <v>132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1.5</v>
      </c>
      <c r="V11" s="15" t="str">
        <f t="shared" si="1"/>
        <v>GREEN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174</v>
      </c>
      <c r="C12" s="18" t="s">
        <v>130</v>
      </c>
      <c r="D12" s="38">
        <v>30</v>
      </c>
      <c r="E12" s="26" t="s">
        <v>141</v>
      </c>
      <c r="F12" s="18" t="s">
        <v>155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1.5</v>
      </c>
      <c r="V12" s="15" t="str">
        <f t="shared" si="1"/>
        <v>GREEN</v>
      </c>
      <c r="W12" s="18" t="str">
        <f ca="1">IFERROR(IF(T12="","",AVERAGE(OFFSET(G12,0,MAX(0,MATCH(Dashboard!$C$2,{"Apr","May","Jun","Jul","Aug","Sep","Oct","Nov","Dec","Jan","Feb","Mar"},0)-3),1,3))),"")</f>
        <v/>
      </c>
    </row>
    <row r="13" spans="1:23" ht="34.5" customHeight="1">
      <c r="A13" s="15">
        <v>9</v>
      </c>
      <c r="B13" s="37" t="s">
        <v>175</v>
      </c>
      <c r="C13" s="18" t="s">
        <v>130</v>
      </c>
      <c r="D13" s="38">
        <v>85</v>
      </c>
      <c r="E13" s="26" t="s">
        <v>131</v>
      </c>
      <c r="F13" s="18" t="s">
        <v>132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T13" s="15">
        <f>IFERROR(INDEX(G13:R13,MATCH(Dashboard!$C$2,{"Apr","May","Jun","Jul","Aug","Sep","Oct","Nov","Dec","Jan","Feb","Mar"},0)),"")</f>
        <v>0</v>
      </c>
      <c r="U13" s="22">
        <f t="shared" si="0"/>
        <v>0</v>
      </c>
      <c r="V13" s="15" t="str">
        <f t="shared" si="1"/>
        <v>RED</v>
      </c>
      <c r="W13" s="18" t="str">
        <f ca="1">IFERROR(IF(T13="","",AVERAGE(OFFSET(G13,0,MAX(0,MATCH(Dashboard!$C$2,{"Apr","May","Jun","Jul","Aug","Sep","Oct","Nov","Dec","Jan","Feb","Mar"},0)-3),1,3))),"")</f>
        <v/>
      </c>
    </row>
    <row r="16" spans="1:23" ht="15" customHeight="1">
      <c r="A16" s="40" t="s">
        <v>148</v>
      </c>
      <c r="B16" s="69" t="s">
        <v>149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</row>
  </sheetData>
  <mergeCells count="3">
    <mergeCell ref="A1:S1"/>
    <mergeCell ref="A2:S2"/>
    <mergeCell ref="B16:R16"/>
  </mergeCells>
  <conditionalFormatting sqref="V5:V13">
    <cfRule type="expression" dxfId="35" priority="2">
      <formula>EXACT(V5,"GREEN")</formula>
    </cfRule>
    <cfRule type="expression" dxfId="34" priority="3">
      <formula>EXACT(V5,"YELLOW")</formula>
    </cfRule>
    <cfRule type="expression" dxfId="33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5"/>
  <sheetViews>
    <sheetView showGridLines="0" workbookViewId="0">
      <pane xSplit="6" ySplit="4" topLeftCell="AC5" activePane="bottomRight" state="frozen"/>
      <selection pane="topRight" activeCell="G1" sqref="G1"/>
      <selection pane="bottomLeft" activeCell="A5" sqref="A5"/>
      <selection pane="bottomRight" activeCell="B6" sqref="A4:R12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2" t="s">
        <v>176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23" ht="21.75" customHeight="1">
      <c r="A2" s="68" t="s">
        <v>177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3" t="s">
        <v>63</v>
      </c>
      <c r="B4" s="43" t="s">
        <v>110</v>
      </c>
      <c r="C4" s="43" t="s">
        <v>111</v>
      </c>
      <c r="D4" s="43" t="s">
        <v>112</v>
      </c>
      <c r="E4" s="43" t="s">
        <v>113</v>
      </c>
      <c r="F4" s="43" t="s">
        <v>114</v>
      </c>
      <c r="G4" s="43" t="s">
        <v>55</v>
      </c>
      <c r="H4" s="43" t="s">
        <v>115</v>
      </c>
      <c r="I4" s="43" t="s">
        <v>116</v>
      </c>
      <c r="J4" s="43" t="s">
        <v>117</v>
      </c>
      <c r="K4" s="43" t="s">
        <v>118</v>
      </c>
      <c r="L4" s="43" t="s">
        <v>119</v>
      </c>
      <c r="M4" s="43" t="s">
        <v>120</v>
      </c>
      <c r="N4" s="43" t="s">
        <v>121</v>
      </c>
      <c r="O4" s="43" t="s">
        <v>122</v>
      </c>
      <c r="P4" s="43" t="s">
        <v>123</v>
      </c>
      <c r="Q4" s="43" t="s">
        <v>124</v>
      </c>
      <c r="R4" s="43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178</v>
      </c>
      <c r="C5" s="18" t="s">
        <v>136</v>
      </c>
      <c r="D5" s="38">
        <v>30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2" si="0">IFERROR(IF(T5="","",IF(LEFT(E5,1)="↑",IF(D5=0,"",MIN(1.5,T5/D5)),IF(T5=0,IF(D5=0,1,1.5),MIN(1.5,D5/MAX(T5,0.0001))))),"")</f>
        <v>0</v>
      </c>
      <c r="V5" s="15" t="str">
        <f t="shared" ref="V5:V12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179</v>
      </c>
      <c r="C6" s="18" t="s">
        <v>136</v>
      </c>
      <c r="D6" s="38">
        <v>20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180</v>
      </c>
      <c r="C7" s="18" t="s">
        <v>136</v>
      </c>
      <c r="D7" s="38">
        <v>15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181</v>
      </c>
      <c r="C8" s="18" t="s">
        <v>136</v>
      </c>
      <c r="D8" s="38">
        <v>30</v>
      </c>
      <c r="E8" s="26" t="s">
        <v>131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182</v>
      </c>
      <c r="C9" s="18" t="s">
        <v>136</v>
      </c>
      <c r="D9" s="38">
        <v>3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183</v>
      </c>
      <c r="C10" s="18" t="s">
        <v>136</v>
      </c>
      <c r="D10" s="38">
        <v>80</v>
      </c>
      <c r="E10" s="26" t="s">
        <v>131</v>
      </c>
      <c r="F10" s="18" t="s">
        <v>155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184</v>
      </c>
      <c r="C11" s="18" t="s">
        <v>136</v>
      </c>
      <c r="D11" s="38">
        <v>50</v>
      </c>
      <c r="E11" s="26" t="s">
        <v>131</v>
      </c>
      <c r="F11" s="18" t="s">
        <v>132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0</v>
      </c>
      <c r="V11" s="15" t="str">
        <f t="shared" si="1"/>
        <v>RED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185</v>
      </c>
      <c r="C12" s="18" t="s">
        <v>136</v>
      </c>
      <c r="D12" s="38">
        <v>15</v>
      </c>
      <c r="E12" s="26" t="s">
        <v>131</v>
      </c>
      <c r="F12" s="18" t="s">
        <v>132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0</v>
      </c>
      <c r="V12" s="15" t="str">
        <f t="shared" si="1"/>
        <v>RED</v>
      </c>
      <c r="W12" s="18" t="str">
        <f ca="1">IFERROR(IF(T12="","",AVERAGE(OFFSET(G12,0,MAX(0,MATCH(Dashboard!$C$2,{"Apr","May","Jun","Jul","Aug","Sep","Oct","Nov","Dec","Jan","Feb","Mar"},0)-3),1,3))),"")</f>
        <v/>
      </c>
    </row>
    <row r="15" spans="1:23" ht="15" customHeight="1">
      <c r="A15" s="40" t="s">
        <v>148</v>
      </c>
      <c r="B15" s="69" t="s">
        <v>149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</row>
  </sheetData>
  <mergeCells count="3">
    <mergeCell ref="A1:S1"/>
    <mergeCell ref="A2:S2"/>
    <mergeCell ref="B15:R15"/>
  </mergeCells>
  <conditionalFormatting sqref="V5:V12">
    <cfRule type="expression" dxfId="32" priority="2">
      <formula>EXACT(V5,"GREEN")</formula>
    </cfRule>
    <cfRule type="expression" dxfId="31" priority="3">
      <formula>EXACT(V5,"YELLOW")</formula>
    </cfRule>
    <cfRule type="expression" dxfId="30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3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D8" sqref="A4:R10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3" t="s">
        <v>186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spans="1:23" ht="21.75" customHeight="1">
      <c r="A2" s="68" t="s">
        <v>187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4" t="s">
        <v>63</v>
      </c>
      <c r="B4" s="44" t="s">
        <v>110</v>
      </c>
      <c r="C4" s="44" t="s">
        <v>111</v>
      </c>
      <c r="D4" s="44" t="s">
        <v>112</v>
      </c>
      <c r="E4" s="44" t="s">
        <v>113</v>
      </c>
      <c r="F4" s="44" t="s">
        <v>114</v>
      </c>
      <c r="G4" s="44" t="s">
        <v>55</v>
      </c>
      <c r="H4" s="44" t="s">
        <v>115</v>
      </c>
      <c r="I4" s="44" t="s">
        <v>116</v>
      </c>
      <c r="J4" s="44" t="s">
        <v>117</v>
      </c>
      <c r="K4" s="44" t="s">
        <v>118</v>
      </c>
      <c r="L4" s="44" t="s">
        <v>119</v>
      </c>
      <c r="M4" s="44" t="s">
        <v>120</v>
      </c>
      <c r="N4" s="44" t="s">
        <v>121</v>
      </c>
      <c r="O4" s="44" t="s">
        <v>122</v>
      </c>
      <c r="P4" s="44" t="s">
        <v>123</v>
      </c>
      <c r="Q4" s="44" t="s">
        <v>124</v>
      </c>
      <c r="R4" s="44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188</v>
      </c>
      <c r="C5" s="18" t="s">
        <v>136</v>
      </c>
      <c r="D5" s="38">
        <v>50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0" si="0">IFERROR(IF(T5="","",IF(LEFT(E5,1)="↑",IF(D5=0,"",MIN(1.5,T5/D5)),IF(T5=0,IF(D5=0,1,1.5),MIN(1.5,D5/MAX(T5,0.0001))))),"")</f>
        <v>0</v>
      </c>
      <c r="V5" s="15" t="str">
        <f t="shared" ref="V5:V10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189</v>
      </c>
      <c r="C6" s="18" t="s">
        <v>130</v>
      </c>
      <c r="D6" s="38">
        <v>90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190</v>
      </c>
      <c r="C7" s="18" t="s">
        <v>130</v>
      </c>
      <c r="D7" s="38">
        <v>80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191</v>
      </c>
      <c r="C8" s="18" t="s">
        <v>136</v>
      </c>
      <c r="D8" s="38">
        <v>100</v>
      </c>
      <c r="E8" s="26" t="s">
        <v>131</v>
      </c>
      <c r="F8" s="18" t="s">
        <v>155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192</v>
      </c>
      <c r="C9" s="18" t="s">
        <v>130</v>
      </c>
      <c r="D9" s="38">
        <v>40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193</v>
      </c>
      <c r="C10" s="18" t="s">
        <v>130</v>
      </c>
      <c r="D10" s="38">
        <v>100</v>
      </c>
      <c r="E10" s="26" t="s">
        <v>131</v>
      </c>
      <c r="F10" s="18" t="s">
        <v>155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3" spans="1:23" ht="15" customHeight="1">
      <c r="A13" s="40" t="s">
        <v>148</v>
      </c>
      <c r="B13" s="69" t="s">
        <v>149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</row>
  </sheetData>
  <mergeCells count="3">
    <mergeCell ref="A1:S1"/>
    <mergeCell ref="A2:S2"/>
    <mergeCell ref="B13:R13"/>
  </mergeCells>
  <conditionalFormatting sqref="V5:V10">
    <cfRule type="expression" dxfId="29" priority="2">
      <formula>EXACT(V5,"GREEN")</formula>
    </cfRule>
    <cfRule type="expression" dxfId="28" priority="3">
      <formula>EXACT(V5,"YELLOW")</formula>
    </cfRule>
    <cfRule type="expression" dxfId="27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5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6" sqref="A4:R12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4" t="s">
        <v>194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23" ht="21.75" customHeight="1">
      <c r="A2" s="68" t="s">
        <v>195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5" t="s">
        <v>63</v>
      </c>
      <c r="B4" s="45" t="s">
        <v>110</v>
      </c>
      <c r="C4" s="45" t="s">
        <v>111</v>
      </c>
      <c r="D4" s="45" t="s">
        <v>112</v>
      </c>
      <c r="E4" s="45" t="s">
        <v>113</v>
      </c>
      <c r="F4" s="45" t="s">
        <v>114</v>
      </c>
      <c r="G4" s="45" t="s">
        <v>55</v>
      </c>
      <c r="H4" s="45" t="s">
        <v>115</v>
      </c>
      <c r="I4" s="45" t="s">
        <v>116</v>
      </c>
      <c r="J4" s="45" t="s">
        <v>117</v>
      </c>
      <c r="K4" s="45" t="s">
        <v>118</v>
      </c>
      <c r="L4" s="45" t="s">
        <v>119</v>
      </c>
      <c r="M4" s="45" t="s">
        <v>120</v>
      </c>
      <c r="N4" s="45" t="s">
        <v>121</v>
      </c>
      <c r="O4" s="45" t="s">
        <v>122</v>
      </c>
      <c r="P4" s="45" t="s">
        <v>123</v>
      </c>
      <c r="Q4" s="45" t="s">
        <v>124</v>
      </c>
      <c r="R4" s="45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196</v>
      </c>
      <c r="C5" s="18" t="s">
        <v>130</v>
      </c>
      <c r="D5" s="38">
        <v>80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2" si="0">IFERROR(IF(T5="","",IF(LEFT(E5,1)="↑",IF(D5=0,"",MIN(1.5,T5/D5)),IF(T5=0,IF(D5=0,1,1.5),MIN(1.5,D5/MAX(T5,0.0001))))),"")</f>
        <v>0</v>
      </c>
      <c r="V5" s="15" t="str">
        <f t="shared" ref="V5:V12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197</v>
      </c>
      <c r="C6" s="18" t="s">
        <v>130</v>
      </c>
      <c r="D6" s="38">
        <v>50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198</v>
      </c>
      <c r="C7" s="18" t="s">
        <v>130</v>
      </c>
      <c r="D7" s="38">
        <v>90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199</v>
      </c>
      <c r="C8" s="18" t="s">
        <v>130</v>
      </c>
      <c r="D8" s="38">
        <v>80</v>
      </c>
      <c r="E8" s="26" t="s">
        <v>131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200</v>
      </c>
      <c r="C9" s="18" t="s">
        <v>130</v>
      </c>
      <c r="D9" s="38">
        <v>75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201</v>
      </c>
      <c r="C10" s="18" t="s">
        <v>130</v>
      </c>
      <c r="D10" s="38">
        <v>70</v>
      </c>
      <c r="E10" s="26" t="s">
        <v>131</v>
      </c>
      <c r="F10" s="18" t="s">
        <v>155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202</v>
      </c>
      <c r="C11" s="18" t="s">
        <v>136</v>
      </c>
      <c r="D11" s="38">
        <v>5</v>
      </c>
      <c r="E11" s="26" t="s">
        <v>141</v>
      </c>
      <c r="F11" s="18" t="s">
        <v>132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1.5</v>
      </c>
      <c r="V11" s="15" t="str">
        <f t="shared" si="1"/>
        <v>GREEN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203</v>
      </c>
      <c r="C12" s="18" t="s">
        <v>204</v>
      </c>
      <c r="D12" s="38">
        <v>100</v>
      </c>
      <c r="E12" s="26" t="s">
        <v>141</v>
      </c>
      <c r="F12" s="18" t="s">
        <v>132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1.5</v>
      </c>
      <c r="V12" s="15" t="str">
        <f t="shared" si="1"/>
        <v>GREEN</v>
      </c>
      <c r="W12" s="18" t="str">
        <f ca="1">IFERROR(IF(T12="","",AVERAGE(OFFSET(G12,0,MAX(0,MATCH(Dashboard!$C$2,{"Apr","May","Jun","Jul","Aug","Sep","Oct","Nov","Dec","Jan","Feb","Mar"},0)-3),1,3))),"")</f>
        <v/>
      </c>
    </row>
    <row r="15" spans="1:23" ht="15" customHeight="1">
      <c r="A15" s="40" t="s">
        <v>148</v>
      </c>
      <c r="B15" s="69" t="s">
        <v>149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</row>
  </sheetData>
  <mergeCells count="3">
    <mergeCell ref="A1:S1"/>
    <mergeCell ref="A2:S2"/>
    <mergeCell ref="B15:R15"/>
  </mergeCells>
  <conditionalFormatting sqref="V5:V12">
    <cfRule type="expression" dxfId="26" priority="2">
      <formula>EXACT(V5,"GREEN")</formula>
    </cfRule>
    <cfRule type="expression" dxfId="25" priority="3">
      <formula>EXACT(V5,"YELLOW")</formula>
    </cfRule>
    <cfRule type="expression" dxfId="24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6"/>
  <sheetViews>
    <sheetView workbookViewId="0">
      <selection activeCell="B10" sqref="A4:R14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7" style="1" customWidth="1"/>
    <col min="6" max="6" width="7" style="1" customWidth="1"/>
    <col min="7" max="18" width="8" style="1" customWidth="1"/>
    <col min="19" max="19" width="2" style="1" customWidth="1"/>
    <col min="20" max="20" width="12" style="1" customWidth="1"/>
    <col min="21" max="21" width="13" style="1" customWidth="1"/>
    <col min="22" max="22" width="10" style="1" customWidth="1"/>
    <col min="23" max="23" width="11" style="1" customWidth="1"/>
  </cols>
  <sheetData>
    <row r="1" spans="1:23" ht="31.5" customHeight="1">
      <c r="A1" s="67" t="s">
        <v>205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23" ht="21.75" customHeight="1">
      <c r="A2" s="68" t="s">
        <v>206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35" t="s">
        <v>63</v>
      </c>
      <c r="B4" s="35" t="s">
        <v>110</v>
      </c>
      <c r="C4" s="35" t="s">
        <v>111</v>
      </c>
      <c r="D4" s="35" t="s">
        <v>112</v>
      </c>
      <c r="E4" s="35" t="s">
        <v>113</v>
      </c>
      <c r="F4" s="35" t="s">
        <v>114</v>
      </c>
      <c r="G4" s="35" t="s">
        <v>55</v>
      </c>
      <c r="H4" s="35" t="s">
        <v>115</v>
      </c>
      <c r="I4" s="35" t="s">
        <v>116</v>
      </c>
      <c r="J4" s="35" t="s">
        <v>117</v>
      </c>
      <c r="K4" s="35" t="s">
        <v>118</v>
      </c>
      <c r="L4" s="35" t="s">
        <v>119</v>
      </c>
      <c r="M4" s="35" t="s">
        <v>120</v>
      </c>
      <c r="N4" s="35" t="s">
        <v>121</v>
      </c>
      <c r="O4" s="35" t="s">
        <v>122</v>
      </c>
      <c r="P4" s="35" t="s">
        <v>123</v>
      </c>
      <c r="Q4" s="35" t="s">
        <v>124</v>
      </c>
      <c r="R4" s="35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207</v>
      </c>
      <c r="C5" s="18" t="s">
        <v>204</v>
      </c>
      <c r="D5" s="38">
        <v>22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4" si="0">IFERROR(IF(T5="","",IF(LEFT(E5,1)="↑",IF(D5=0,"",MIN(1.5,T5/D5)),IF(T5=0,IF(D5=0,1,1.5),MIN(1.5,D5/MAX(T5,0.0001))))),"")</f>
        <v>0</v>
      </c>
      <c r="V5" s="15" t="str">
        <f t="shared" ref="V5:V14" si="1">IF(U5="","–",IF(U5&gt;=0.9,"GREEN",IF(U5&gt;=0.7,"YELLOW","RED")))</f>
        <v>RED</v>
      </c>
      <c r="W5" s="15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208</v>
      </c>
      <c r="C6" s="18" t="s">
        <v>204</v>
      </c>
      <c r="D6" s="38">
        <v>80</v>
      </c>
      <c r="E6" s="26" t="s">
        <v>141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1.5</v>
      </c>
      <c r="V6" s="15" t="str">
        <f t="shared" si="1"/>
        <v>GREEN</v>
      </c>
      <c r="W6" s="15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209</v>
      </c>
      <c r="C7" s="18" t="s">
        <v>130</v>
      </c>
      <c r="D7" s="38">
        <v>95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5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210</v>
      </c>
      <c r="C8" s="18" t="s">
        <v>130</v>
      </c>
      <c r="D8" s="38">
        <v>90</v>
      </c>
      <c r="E8" s="26" t="s">
        <v>131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5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211</v>
      </c>
      <c r="C9" s="18" t="s">
        <v>140</v>
      </c>
      <c r="D9" s="38">
        <v>15</v>
      </c>
      <c r="E9" s="26" t="s">
        <v>141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1.5</v>
      </c>
      <c r="V9" s="15" t="str">
        <f t="shared" si="1"/>
        <v>GREEN</v>
      </c>
      <c r="W9" s="15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212</v>
      </c>
      <c r="C10" s="18" t="s">
        <v>130</v>
      </c>
      <c r="D10" s="38">
        <v>80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5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213</v>
      </c>
      <c r="C11" s="18" t="s">
        <v>130</v>
      </c>
      <c r="D11" s="38">
        <v>85</v>
      </c>
      <c r="E11" s="26" t="s">
        <v>131</v>
      </c>
      <c r="F11" s="18" t="s">
        <v>132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0</v>
      </c>
      <c r="V11" s="15" t="str">
        <f t="shared" si="1"/>
        <v>RED</v>
      </c>
      <c r="W11" s="15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214</v>
      </c>
      <c r="C12" s="18" t="s">
        <v>130</v>
      </c>
      <c r="D12" s="38">
        <v>5</v>
      </c>
      <c r="E12" s="26" t="s">
        <v>141</v>
      </c>
      <c r="F12" s="18" t="s">
        <v>132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1.5</v>
      </c>
      <c r="V12" s="15" t="str">
        <f t="shared" si="1"/>
        <v>GREEN</v>
      </c>
      <c r="W12" s="15" t="str">
        <f ca="1">IFERROR(IF(T12="","",AVERAGE(OFFSET(G12,0,MAX(0,MATCH(Dashboard!$C$2,{"Apr","May","Jun","Jul","Aug","Sep","Oct","Nov","Dec","Jan","Feb","Mar"},0)-3),1,3))),"")</f>
        <v/>
      </c>
    </row>
    <row r="13" spans="1:23" ht="34.5" customHeight="1">
      <c r="A13" s="15">
        <v>9</v>
      </c>
      <c r="B13" s="37" t="s">
        <v>215</v>
      </c>
      <c r="C13" s="18" t="s">
        <v>136</v>
      </c>
      <c r="D13" s="38">
        <v>100</v>
      </c>
      <c r="E13" s="26" t="s">
        <v>131</v>
      </c>
      <c r="F13" s="18" t="s">
        <v>132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T13" s="15">
        <f>IFERROR(INDEX(G13:R13,MATCH(Dashboard!$C$2,{"Apr","May","Jun","Jul","Aug","Sep","Oct","Nov","Dec","Jan","Feb","Mar"},0)),"")</f>
        <v>0</v>
      </c>
      <c r="U13" s="22">
        <f t="shared" si="0"/>
        <v>0</v>
      </c>
      <c r="V13" s="15" t="str">
        <f t="shared" si="1"/>
        <v>RED</v>
      </c>
      <c r="W13" s="15" t="str">
        <f ca="1">IFERROR(IF(T13="","",AVERAGE(OFFSET(G13,0,MAX(0,MATCH(Dashboard!$C$2,{"Apr","May","Jun","Jul","Aug","Sep","Oct","Nov","Dec","Jan","Feb","Mar"},0)-3),1,3))),"")</f>
        <v/>
      </c>
    </row>
    <row r="14" spans="1:23" ht="34.5" customHeight="1">
      <c r="A14" s="15">
        <v>10</v>
      </c>
      <c r="B14" s="37" t="s">
        <v>216</v>
      </c>
      <c r="C14" s="18" t="s">
        <v>130</v>
      </c>
      <c r="D14" s="38">
        <v>95</v>
      </c>
      <c r="E14" s="26" t="s">
        <v>131</v>
      </c>
      <c r="F14" s="18" t="s">
        <v>155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T14" s="15">
        <f>IFERROR(INDEX(G14:R14,MATCH(Dashboard!$C$2,{"Apr","May","Jun","Jul","Aug","Sep","Oct","Nov","Dec","Jan","Feb","Mar"},0)),"")</f>
        <v>0</v>
      </c>
      <c r="U14" s="22">
        <f t="shared" si="0"/>
        <v>0</v>
      </c>
      <c r="V14" s="15" t="str">
        <f t="shared" si="1"/>
        <v>RED</v>
      </c>
      <c r="W14" s="15" t="str">
        <f ca="1">IFERROR(IF(T14="","",AVERAGE(OFFSET(G14,0,MAX(0,MATCH(Dashboard!$C$2,{"Apr","May","Jun","Jul","Aug","Sep","Oct","Nov","Dec","Jan","Feb","Mar"},0)-3),1,3))),"")</f>
        <v/>
      </c>
    </row>
    <row r="16" spans="1:23" ht="15" customHeight="1">
      <c r="A16" s="1" t="s">
        <v>148</v>
      </c>
      <c r="B16" s="61" t="s">
        <v>149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</row>
  </sheetData>
  <mergeCells count="3">
    <mergeCell ref="A1:S1"/>
    <mergeCell ref="A2:S2"/>
    <mergeCell ref="B16:R16"/>
  </mergeCells>
  <conditionalFormatting sqref="V5:V14">
    <cfRule type="cellIs" dxfId="23" priority="2" operator="equal">
      <formula>"GREEN"</formula>
    </cfRule>
    <cfRule type="cellIs" dxfId="22" priority="3" operator="equal">
      <formula>"YELLOW"</formula>
    </cfRule>
    <cfRule type="cellIs" dxfId="21" priority="4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15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6" sqref="A4:R12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5" t="s">
        <v>217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23" ht="21.75" customHeight="1">
      <c r="A2" s="68" t="s">
        <v>218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6" t="s">
        <v>63</v>
      </c>
      <c r="B4" s="46" t="s">
        <v>110</v>
      </c>
      <c r="C4" s="46" t="s">
        <v>111</v>
      </c>
      <c r="D4" s="46" t="s">
        <v>112</v>
      </c>
      <c r="E4" s="46" t="s">
        <v>113</v>
      </c>
      <c r="F4" s="46" t="s">
        <v>114</v>
      </c>
      <c r="G4" s="46" t="s">
        <v>55</v>
      </c>
      <c r="H4" s="46" t="s">
        <v>115</v>
      </c>
      <c r="I4" s="46" t="s">
        <v>116</v>
      </c>
      <c r="J4" s="46" t="s">
        <v>117</v>
      </c>
      <c r="K4" s="46" t="s">
        <v>118</v>
      </c>
      <c r="L4" s="46" t="s">
        <v>119</v>
      </c>
      <c r="M4" s="46" t="s">
        <v>120</v>
      </c>
      <c r="N4" s="46" t="s">
        <v>121</v>
      </c>
      <c r="O4" s="46" t="s">
        <v>122</v>
      </c>
      <c r="P4" s="46" t="s">
        <v>123</v>
      </c>
      <c r="Q4" s="46" t="s">
        <v>124</v>
      </c>
      <c r="R4" s="46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219</v>
      </c>
      <c r="C5" s="18" t="s">
        <v>130</v>
      </c>
      <c r="D5" s="38">
        <v>95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2" si="0">IFERROR(IF(T5="","",IF(LEFT(E5,1)="↑",IF(D5=0,"",MIN(1.5,T5/D5)),IF(T5=0,IF(D5=0,1,1.5),MIN(1.5,D5/MAX(T5,0.0001))))),"")</f>
        <v>0</v>
      </c>
      <c r="V5" s="15" t="str">
        <f t="shared" ref="V5:V12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220</v>
      </c>
      <c r="C6" s="18" t="s">
        <v>130</v>
      </c>
      <c r="D6" s="38">
        <v>12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221</v>
      </c>
      <c r="C7" s="18" t="s">
        <v>222</v>
      </c>
      <c r="D7" s="38">
        <v>3</v>
      </c>
      <c r="E7" s="26" t="s">
        <v>141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1.5</v>
      </c>
      <c r="V7" s="15" t="str">
        <f t="shared" si="1"/>
        <v>GREEN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223</v>
      </c>
      <c r="C8" s="18" t="s">
        <v>136</v>
      </c>
      <c r="D8" s="38">
        <v>5</v>
      </c>
      <c r="E8" s="26" t="s">
        <v>141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1.5</v>
      </c>
      <c r="V8" s="15" t="str">
        <f t="shared" si="1"/>
        <v>GREEN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224</v>
      </c>
      <c r="C9" s="18" t="s">
        <v>130</v>
      </c>
      <c r="D9" s="38">
        <v>15</v>
      </c>
      <c r="E9" s="26" t="s">
        <v>131</v>
      </c>
      <c r="F9" s="18" t="s">
        <v>155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225</v>
      </c>
      <c r="C10" s="18" t="s">
        <v>136</v>
      </c>
      <c r="D10" s="38">
        <v>4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226</v>
      </c>
      <c r="C11" s="18" t="s">
        <v>227</v>
      </c>
      <c r="D11" s="38">
        <v>50</v>
      </c>
      <c r="E11" s="26" t="s">
        <v>131</v>
      </c>
      <c r="F11" s="18" t="s">
        <v>155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0</v>
      </c>
      <c r="V11" s="15" t="str">
        <f t="shared" si="1"/>
        <v>RED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228</v>
      </c>
      <c r="C12" s="18" t="s">
        <v>136</v>
      </c>
      <c r="D12" s="38">
        <v>0</v>
      </c>
      <c r="E12" s="26" t="s">
        <v>141</v>
      </c>
      <c r="F12" s="18" t="s">
        <v>132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1</v>
      </c>
      <c r="V12" s="15" t="str">
        <f t="shared" si="1"/>
        <v>GREEN</v>
      </c>
      <c r="W12" s="18" t="str">
        <f ca="1">IFERROR(IF(T12="","",AVERAGE(OFFSET(G12,0,MAX(0,MATCH(Dashboard!$C$2,{"Apr","May","Jun","Jul","Aug","Sep","Oct","Nov","Dec","Jan","Feb","Mar"},0)-3),1,3))),"")</f>
        <v/>
      </c>
    </row>
    <row r="15" spans="1:23" ht="15" customHeight="1">
      <c r="A15" s="40" t="s">
        <v>148</v>
      </c>
      <c r="B15" s="69" t="s">
        <v>149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</row>
  </sheetData>
  <mergeCells count="3">
    <mergeCell ref="A1:S1"/>
    <mergeCell ref="A2:S2"/>
    <mergeCell ref="B15:R15"/>
  </mergeCells>
  <conditionalFormatting sqref="V5:V12">
    <cfRule type="expression" dxfId="20" priority="2">
      <formula>EXACT(V5,"GREEN")</formula>
    </cfRule>
    <cfRule type="expression" dxfId="19" priority="3">
      <formula>EXACT(V5,"YELLOW")</formula>
    </cfRule>
    <cfRule type="expression" dxfId="18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17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10" sqref="A4:R14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6" t="s">
        <v>229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23" ht="21.75" customHeight="1">
      <c r="A2" s="68" t="s">
        <v>230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7" t="s">
        <v>63</v>
      </c>
      <c r="B4" s="47" t="s">
        <v>110</v>
      </c>
      <c r="C4" s="47" t="s">
        <v>111</v>
      </c>
      <c r="D4" s="47" t="s">
        <v>112</v>
      </c>
      <c r="E4" s="47" t="s">
        <v>113</v>
      </c>
      <c r="F4" s="47" t="s">
        <v>114</v>
      </c>
      <c r="G4" s="47" t="s">
        <v>55</v>
      </c>
      <c r="H4" s="47" t="s">
        <v>115</v>
      </c>
      <c r="I4" s="47" t="s">
        <v>116</v>
      </c>
      <c r="J4" s="47" t="s">
        <v>117</v>
      </c>
      <c r="K4" s="47" t="s">
        <v>118</v>
      </c>
      <c r="L4" s="47" t="s">
        <v>119</v>
      </c>
      <c r="M4" s="47" t="s">
        <v>120</v>
      </c>
      <c r="N4" s="47" t="s">
        <v>121</v>
      </c>
      <c r="O4" s="47" t="s">
        <v>122</v>
      </c>
      <c r="P4" s="47" t="s">
        <v>123</v>
      </c>
      <c r="Q4" s="47" t="s">
        <v>124</v>
      </c>
      <c r="R4" s="47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231</v>
      </c>
      <c r="C5" s="18" t="s">
        <v>136</v>
      </c>
      <c r="D5" s="38">
        <v>200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4" si="0">IFERROR(IF(T5="","",IF(LEFT(E5,1)="↑",IF(D5=0,"",MIN(1.5,T5/D5)),IF(T5=0,IF(D5=0,1,1.5),MIN(1.5,D5/MAX(T5,0.0001))))),"")</f>
        <v>0</v>
      </c>
      <c r="V5" s="15" t="str">
        <f t="shared" ref="V5:V14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232</v>
      </c>
      <c r="C6" s="18" t="s">
        <v>136</v>
      </c>
      <c r="D6" s="38">
        <v>5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233</v>
      </c>
      <c r="C7" s="18" t="s">
        <v>130</v>
      </c>
      <c r="D7" s="38">
        <v>50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234</v>
      </c>
      <c r="C8" s="18" t="s">
        <v>130</v>
      </c>
      <c r="D8" s="38">
        <v>95</v>
      </c>
      <c r="E8" s="26" t="s">
        <v>131</v>
      </c>
      <c r="F8" s="18" t="s">
        <v>155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235</v>
      </c>
      <c r="C9" s="18" t="s">
        <v>136</v>
      </c>
      <c r="D9" s="38">
        <v>5000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236</v>
      </c>
      <c r="C10" s="18" t="s">
        <v>136</v>
      </c>
      <c r="D10" s="38">
        <v>50000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237</v>
      </c>
      <c r="C11" s="18" t="s">
        <v>227</v>
      </c>
      <c r="D11" s="38">
        <v>500</v>
      </c>
      <c r="E11" s="26" t="s">
        <v>131</v>
      </c>
      <c r="F11" s="18" t="s">
        <v>155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0</v>
      </c>
      <c r="V11" s="15" t="str">
        <f t="shared" si="1"/>
        <v>RED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238</v>
      </c>
      <c r="C12" s="18" t="s">
        <v>130</v>
      </c>
      <c r="D12" s="38">
        <v>80</v>
      </c>
      <c r="E12" s="26" t="s">
        <v>131</v>
      </c>
      <c r="F12" s="18" t="s">
        <v>155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0</v>
      </c>
      <c r="V12" s="15" t="str">
        <f t="shared" si="1"/>
        <v>RED</v>
      </c>
      <c r="W12" s="18" t="str">
        <f ca="1">IFERROR(IF(T12="","",AVERAGE(OFFSET(G12,0,MAX(0,MATCH(Dashboard!$C$2,{"Apr","May","Jun","Jul","Aug","Sep","Oct","Nov","Dec","Jan","Feb","Mar"},0)-3),1,3))),"")</f>
        <v/>
      </c>
    </row>
    <row r="13" spans="1:23" ht="34.5" customHeight="1">
      <c r="A13" s="15">
        <v>9</v>
      </c>
      <c r="B13" s="37" t="s">
        <v>239</v>
      </c>
      <c r="C13" s="18" t="s">
        <v>136</v>
      </c>
      <c r="D13" s="38">
        <v>500</v>
      </c>
      <c r="E13" s="26" t="s">
        <v>131</v>
      </c>
      <c r="F13" s="18" t="s">
        <v>132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T13" s="15">
        <f>IFERROR(INDEX(G13:R13,MATCH(Dashboard!$C$2,{"Apr","May","Jun","Jul","Aug","Sep","Oct","Nov","Dec","Jan","Feb","Mar"},0)),"")</f>
        <v>0</v>
      </c>
      <c r="U13" s="22">
        <f t="shared" si="0"/>
        <v>0</v>
      </c>
      <c r="V13" s="15" t="str">
        <f t="shared" si="1"/>
        <v>RED</v>
      </c>
      <c r="W13" s="18" t="str">
        <f ca="1">IFERROR(IF(T13="","",AVERAGE(OFFSET(G13,0,MAX(0,MATCH(Dashboard!$C$2,{"Apr","May","Jun","Jul","Aug","Sep","Oct","Nov","Dec","Jan","Feb","Mar"},0)-3),1,3))),"")</f>
        <v/>
      </c>
    </row>
    <row r="14" spans="1:23" ht="34.5" customHeight="1">
      <c r="A14" s="15">
        <v>10</v>
      </c>
      <c r="B14" s="37" t="s">
        <v>240</v>
      </c>
      <c r="C14" s="18" t="s">
        <v>136</v>
      </c>
      <c r="D14" s="38">
        <v>300</v>
      </c>
      <c r="E14" s="26" t="s">
        <v>131</v>
      </c>
      <c r="F14" s="18" t="s">
        <v>132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T14" s="15">
        <f>IFERROR(INDEX(G14:R14,MATCH(Dashboard!$C$2,{"Apr","May","Jun","Jul","Aug","Sep","Oct","Nov","Dec","Jan","Feb","Mar"},0)),"")</f>
        <v>0</v>
      </c>
      <c r="U14" s="22">
        <f t="shared" si="0"/>
        <v>0</v>
      </c>
      <c r="V14" s="15" t="str">
        <f t="shared" si="1"/>
        <v>RED</v>
      </c>
      <c r="W14" s="18" t="str">
        <f ca="1">IFERROR(IF(T14="","",AVERAGE(OFFSET(G14,0,MAX(0,MATCH(Dashboard!$C$2,{"Apr","May","Jun","Jul","Aug","Sep","Oct","Nov","Dec","Jan","Feb","Mar"},0)-3),1,3))),"")</f>
        <v/>
      </c>
    </row>
    <row r="17" spans="1:18" ht="15" customHeight="1">
      <c r="A17" s="40" t="s">
        <v>148</v>
      </c>
      <c r="B17" s="69" t="s">
        <v>149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</row>
  </sheetData>
  <mergeCells count="3">
    <mergeCell ref="A1:S1"/>
    <mergeCell ref="A2:S2"/>
    <mergeCell ref="B17:R17"/>
  </mergeCells>
  <conditionalFormatting sqref="V5:V14">
    <cfRule type="expression" dxfId="17" priority="2">
      <formula>EXACT(V5,"GREEN")</formula>
    </cfRule>
    <cfRule type="expression" dxfId="16" priority="3">
      <formula>EXACT(V5,"YELLOW")</formula>
    </cfRule>
    <cfRule type="expression" dxfId="15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15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8" sqref="A4:R12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7" t="s">
        <v>241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23" ht="21.75" customHeight="1">
      <c r="A2" s="68" t="s">
        <v>242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8" t="s">
        <v>63</v>
      </c>
      <c r="B4" s="48" t="s">
        <v>110</v>
      </c>
      <c r="C4" s="48" t="s">
        <v>111</v>
      </c>
      <c r="D4" s="48" t="s">
        <v>112</v>
      </c>
      <c r="E4" s="48" t="s">
        <v>113</v>
      </c>
      <c r="F4" s="48" t="s">
        <v>114</v>
      </c>
      <c r="G4" s="48" t="s">
        <v>55</v>
      </c>
      <c r="H4" s="48" t="s">
        <v>115</v>
      </c>
      <c r="I4" s="48" t="s">
        <v>116</v>
      </c>
      <c r="J4" s="48" t="s">
        <v>117</v>
      </c>
      <c r="K4" s="48" t="s">
        <v>118</v>
      </c>
      <c r="L4" s="48" t="s">
        <v>119</v>
      </c>
      <c r="M4" s="48" t="s">
        <v>120</v>
      </c>
      <c r="N4" s="48" t="s">
        <v>121</v>
      </c>
      <c r="O4" s="48" t="s">
        <v>122</v>
      </c>
      <c r="P4" s="48" t="s">
        <v>123</v>
      </c>
      <c r="Q4" s="48" t="s">
        <v>124</v>
      </c>
      <c r="R4" s="48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243</v>
      </c>
      <c r="C5" s="18" t="s">
        <v>136</v>
      </c>
      <c r="D5" s="38">
        <v>30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2" si="0">IFERROR(IF(T5="","",IF(LEFT(E5,1)="↑",IF(D5=0,"",MIN(1.5,T5/D5)),IF(T5=0,IF(D5=0,1,1.5),MIN(1.5,D5/MAX(T5,0.0001))))),"")</f>
        <v>0</v>
      </c>
      <c r="V5" s="15" t="str">
        <f t="shared" ref="V5:V12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244</v>
      </c>
      <c r="C6" s="18" t="s">
        <v>130</v>
      </c>
      <c r="D6" s="38">
        <v>98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245</v>
      </c>
      <c r="C7" s="18" t="s">
        <v>130</v>
      </c>
      <c r="D7" s="38">
        <v>95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246</v>
      </c>
      <c r="C8" s="18" t="s">
        <v>136</v>
      </c>
      <c r="D8" s="38">
        <v>0</v>
      </c>
      <c r="E8" s="26" t="s">
        <v>141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1</v>
      </c>
      <c r="V8" s="15" t="str">
        <f t="shared" si="1"/>
        <v>GREEN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247</v>
      </c>
      <c r="C9" s="18" t="s">
        <v>130</v>
      </c>
      <c r="D9" s="38">
        <v>85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248</v>
      </c>
      <c r="C10" s="18" t="s">
        <v>130</v>
      </c>
      <c r="D10" s="38">
        <v>98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249</v>
      </c>
      <c r="C11" s="18" t="s">
        <v>130</v>
      </c>
      <c r="D11" s="38">
        <v>60</v>
      </c>
      <c r="E11" s="26" t="s">
        <v>131</v>
      </c>
      <c r="F11" s="18" t="s">
        <v>155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0</v>
      </c>
      <c r="V11" s="15" t="str">
        <f t="shared" si="1"/>
        <v>RED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250</v>
      </c>
      <c r="C12" s="18" t="s">
        <v>130</v>
      </c>
      <c r="D12" s="38">
        <v>75</v>
      </c>
      <c r="E12" s="26" t="s">
        <v>131</v>
      </c>
      <c r="F12" s="18" t="s">
        <v>155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0</v>
      </c>
      <c r="V12" s="15" t="str">
        <f t="shared" si="1"/>
        <v>RED</v>
      </c>
      <c r="W12" s="18" t="str">
        <f ca="1">IFERROR(IF(T12="","",AVERAGE(OFFSET(G12,0,MAX(0,MATCH(Dashboard!$C$2,{"Apr","May","Jun","Jul","Aug","Sep","Oct","Nov","Dec","Jan","Feb","Mar"},0)-3),1,3))),"")</f>
        <v/>
      </c>
    </row>
    <row r="15" spans="1:23" ht="15" customHeight="1">
      <c r="A15" s="40" t="s">
        <v>148</v>
      </c>
      <c r="B15" s="69" t="s">
        <v>149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</row>
  </sheetData>
  <mergeCells count="3">
    <mergeCell ref="A1:S1"/>
    <mergeCell ref="A2:S2"/>
    <mergeCell ref="B15:R15"/>
  </mergeCells>
  <conditionalFormatting sqref="V5:V12">
    <cfRule type="expression" dxfId="14" priority="2">
      <formula>EXACT(V5,"GREEN")</formula>
    </cfRule>
    <cfRule type="expression" dxfId="13" priority="3">
      <formula>EXACT(V5,"YELLOW")</formula>
    </cfRule>
    <cfRule type="expression" dxfId="12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14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9" sqref="A4:R9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8" t="s">
        <v>251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23" ht="21.75" customHeight="1">
      <c r="A2" s="68" t="s">
        <v>252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49" t="s">
        <v>63</v>
      </c>
      <c r="B4" s="49" t="s">
        <v>110</v>
      </c>
      <c r="C4" s="49" t="s">
        <v>111</v>
      </c>
      <c r="D4" s="49" t="s">
        <v>112</v>
      </c>
      <c r="E4" s="49" t="s">
        <v>113</v>
      </c>
      <c r="F4" s="49" t="s">
        <v>114</v>
      </c>
      <c r="G4" s="49" t="s">
        <v>55</v>
      </c>
      <c r="H4" s="49" t="s">
        <v>115</v>
      </c>
      <c r="I4" s="49" t="s">
        <v>116</v>
      </c>
      <c r="J4" s="49" t="s">
        <v>117</v>
      </c>
      <c r="K4" s="49" t="s">
        <v>118</v>
      </c>
      <c r="L4" s="49" t="s">
        <v>119</v>
      </c>
      <c r="M4" s="49" t="s">
        <v>120</v>
      </c>
      <c r="N4" s="49" t="s">
        <v>121</v>
      </c>
      <c r="O4" s="49" t="s">
        <v>122</v>
      </c>
      <c r="P4" s="49" t="s">
        <v>123</v>
      </c>
      <c r="Q4" s="49" t="s">
        <v>124</v>
      </c>
      <c r="R4" s="49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253</v>
      </c>
      <c r="C5" s="18" t="s">
        <v>130</v>
      </c>
      <c r="D5" s="38">
        <v>80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>IFERROR(IF(T5="","",IF(LEFT(E5,1)="↑",IF(D5=0,"",MIN(1.5,T5/D5)),IF(T5=0,IF(D5=0,1,1.5),MIN(1.5,D5/MAX(T5,0.0001))))),"")</f>
        <v>0</v>
      </c>
      <c r="V5" s="15" t="str">
        <f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254</v>
      </c>
      <c r="C6" s="18" t="s">
        <v>130</v>
      </c>
      <c r="D6" s="38">
        <v>70</v>
      </c>
      <c r="E6" s="26" t="s">
        <v>131</v>
      </c>
      <c r="F6" s="18" t="s">
        <v>155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>IFERROR(IF(T6="","",IF(LEFT(E6,1)="↑",IF(D6=0,"",MIN(1.5,T6/D6)),IF(T6=0,IF(D6=0,1,1.5),MIN(1.5,D6/MAX(T6,0.0001))))),"")</f>
        <v>0</v>
      </c>
      <c r="V6" s="15" t="str">
        <f>IF(U6="","–",IF(U6&gt;=0.9,"GREEN",IF(U6&gt;=0.7,"YELLOW","RED")))</f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255</v>
      </c>
      <c r="C7" s="18" t="s">
        <v>130</v>
      </c>
      <c r="D7" s="38">
        <v>20</v>
      </c>
      <c r="E7" s="26" t="s">
        <v>141</v>
      </c>
      <c r="F7" s="18" t="s">
        <v>155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>IFERROR(IF(T7="","",IF(LEFT(E7,1)="↑",IF(D7=0,"",MIN(1.5,T7/D7)),IF(T7=0,IF(D7=0,1,1.5),MIN(1.5,D7/MAX(T7,0.0001))))),"")</f>
        <v>1.5</v>
      </c>
      <c r="V7" s="15" t="str">
        <f>IF(U7="","–",IF(U7&gt;=0.9,"GREEN",IF(U7&gt;=0.7,"YELLOW","RED")))</f>
        <v>GREEN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256</v>
      </c>
      <c r="C8" s="18" t="s">
        <v>136</v>
      </c>
      <c r="D8" s="38">
        <v>8</v>
      </c>
      <c r="E8" s="26" t="s">
        <v>131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>IFERROR(IF(T8="","",IF(LEFT(E8,1)="↑",IF(D8=0,"",MIN(1.5,T8/D8)),IF(T8=0,IF(D8=0,1,1.5),MIN(1.5,D8/MAX(T8,0.0001))))),"")</f>
        <v>0</v>
      </c>
      <c r="V8" s="15" t="str">
        <f>IF(U8="","–",IF(U8&gt;=0.9,"GREEN",IF(U8&gt;=0.7,"YELLOW","RED")))</f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257</v>
      </c>
      <c r="C9" s="18" t="s">
        <v>136</v>
      </c>
      <c r="D9" s="38">
        <v>30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>IFERROR(IF(T9="","",IF(LEFT(E9,1)="↑",IF(D9=0,"",MIN(1.5,T9/D9)),IF(T9=0,IF(D9=0,1,1.5),MIN(1.5,D9/MAX(T9,0.0001))))),"")</f>
        <v>0</v>
      </c>
      <c r="V9" s="15" t="str">
        <f>IF(U9="","–",IF(U9&gt;=0.9,"GREEN",IF(U9&gt;=0.7,"YELLOW","RED")))</f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/>
    <row r="11" spans="1:23" ht="34.5" customHeight="1"/>
    <row r="12" spans="1:23" ht="15" customHeight="1">
      <c r="A12" s="40" t="s">
        <v>148</v>
      </c>
      <c r="B12" s="50" t="s">
        <v>149</v>
      </c>
    </row>
    <row r="14" spans="1:23" ht="15" customHeight="1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</row>
  </sheetData>
  <mergeCells count="3">
    <mergeCell ref="A1:S1"/>
    <mergeCell ref="A2:S2"/>
    <mergeCell ref="B14:R14"/>
  </mergeCells>
  <conditionalFormatting sqref="V5:V9">
    <cfRule type="cellIs" dxfId="11" priority="2" operator="equal">
      <formula>"GREEN"</formula>
    </cfRule>
    <cfRule type="cellIs" dxfId="10" priority="3" operator="equal">
      <formula>"YELLOW"</formula>
    </cfRule>
    <cfRule type="cellIs" dxfId="9" priority="4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W18"/>
  <sheetViews>
    <sheetView workbookViewId="0">
      <selection activeCell="B8" sqref="A4:R16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7" style="1" customWidth="1"/>
    <col min="6" max="6" width="7" style="1" customWidth="1"/>
    <col min="7" max="18" width="8" style="1" customWidth="1"/>
    <col min="19" max="19" width="2" style="1" customWidth="1"/>
    <col min="20" max="20" width="12" style="1" customWidth="1"/>
    <col min="21" max="21" width="13" style="1" customWidth="1"/>
    <col min="22" max="22" width="10" style="1" customWidth="1"/>
    <col min="23" max="23" width="11" style="1" customWidth="1"/>
  </cols>
  <sheetData>
    <row r="1" spans="1:23" ht="31.5" customHeight="1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23" ht="21.75" customHeight="1">
      <c r="A2" s="68" t="s">
        <v>259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35" t="s">
        <v>63</v>
      </c>
      <c r="B4" s="35" t="s">
        <v>110</v>
      </c>
      <c r="C4" s="35" t="s">
        <v>111</v>
      </c>
      <c r="D4" s="35" t="s">
        <v>112</v>
      </c>
      <c r="E4" s="35" t="s">
        <v>113</v>
      </c>
      <c r="F4" s="35" t="s">
        <v>114</v>
      </c>
      <c r="G4" s="35" t="s">
        <v>55</v>
      </c>
      <c r="H4" s="35" t="s">
        <v>115</v>
      </c>
      <c r="I4" s="35" t="s">
        <v>116</v>
      </c>
      <c r="J4" s="35" t="s">
        <v>117</v>
      </c>
      <c r="K4" s="35" t="s">
        <v>118</v>
      </c>
      <c r="L4" s="35" t="s">
        <v>119</v>
      </c>
      <c r="M4" s="35" t="s">
        <v>120</v>
      </c>
      <c r="N4" s="35" t="s">
        <v>121</v>
      </c>
      <c r="O4" s="35" t="s">
        <v>122</v>
      </c>
      <c r="P4" s="35" t="s">
        <v>123</v>
      </c>
      <c r="Q4" s="35" t="s">
        <v>124</v>
      </c>
      <c r="R4" s="35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260</v>
      </c>
      <c r="C5" s="18" t="s">
        <v>130</v>
      </c>
      <c r="D5" s="38">
        <v>90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6" si="0">IFERROR(IF(T5="","",IF(LEFT(E5,1)="↑",IF(D5=0,"",MIN(1.5,T5/D5)),IF(T5=0,IF(D5=0,1,1.5),MIN(1.5,D5/MAX(T5,0.0001))))),"")</f>
        <v>0</v>
      </c>
      <c r="V5" s="15" t="str">
        <f t="shared" ref="V5:V16" si="1">IF(U5="","–",IF(U5&gt;=0.9,"GREEN",IF(U5&gt;=0.7,"YELLOW","RED")))</f>
        <v>RED</v>
      </c>
      <c r="W5" s="15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261</v>
      </c>
      <c r="C6" s="18" t="s">
        <v>130</v>
      </c>
      <c r="D6" s="38">
        <v>90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5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262</v>
      </c>
      <c r="C7" s="18" t="s">
        <v>130</v>
      </c>
      <c r="D7" s="38">
        <v>90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5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263</v>
      </c>
      <c r="C8" s="18" t="s">
        <v>130</v>
      </c>
      <c r="D8" s="38">
        <v>90</v>
      </c>
      <c r="E8" s="26" t="s">
        <v>131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5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264</v>
      </c>
      <c r="C9" s="18" t="s">
        <v>130</v>
      </c>
      <c r="D9" s="38">
        <v>95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5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265</v>
      </c>
      <c r="C10" s="18" t="s">
        <v>130</v>
      </c>
      <c r="D10" s="38">
        <v>95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5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266</v>
      </c>
      <c r="C11" s="18" t="s">
        <v>136</v>
      </c>
      <c r="D11" s="38">
        <v>80</v>
      </c>
      <c r="E11" s="26" t="s">
        <v>131</v>
      </c>
      <c r="F11" s="18" t="s">
        <v>132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0</v>
      </c>
      <c r="V11" s="15" t="str">
        <f t="shared" si="1"/>
        <v>RED</v>
      </c>
      <c r="W11" s="15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267</v>
      </c>
      <c r="C12" s="18" t="s">
        <v>136</v>
      </c>
      <c r="D12" s="38">
        <v>5</v>
      </c>
      <c r="E12" s="26" t="s">
        <v>141</v>
      </c>
      <c r="F12" s="18" t="s">
        <v>132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1.5</v>
      </c>
      <c r="V12" s="15" t="str">
        <f t="shared" si="1"/>
        <v>GREEN</v>
      </c>
      <c r="W12" s="15" t="str">
        <f ca="1">IFERROR(IF(T12="","",AVERAGE(OFFSET(G12,0,MAX(0,MATCH(Dashboard!$C$2,{"Apr","May","Jun","Jul","Aug","Sep","Oct","Nov","Dec","Jan","Feb","Mar"},0)-3),1,3))),"")</f>
        <v/>
      </c>
    </row>
    <row r="13" spans="1:23" ht="34.5" customHeight="1">
      <c r="A13" s="15">
        <v>9</v>
      </c>
      <c r="B13" s="37" t="s">
        <v>268</v>
      </c>
      <c r="C13" s="18" t="s">
        <v>130</v>
      </c>
      <c r="D13" s="38">
        <v>95</v>
      </c>
      <c r="E13" s="26" t="s">
        <v>131</v>
      </c>
      <c r="F13" s="18" t="s">
        <v>132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T13" s="15">
        <f>IFERROR(INDEX(G13:R13,MATCH(Dashboard!$C$2,{"Apr","May","Jun","Jul","Aug","Sep","Oct","Nov","Dec","Jan","Feb","Mar"},0)),"")</f>
        <v>0</v>
      </c>
      <c r="U13" s="22">
        <f t="shared" si="0"/>
        <v>0</v>
      </c>
      <c r="V13" s="15" t="str">
        <f t="shared" si="1"/>
        <v>RED</v>
      </c>
      <c r="W13" s="15" t="str">
        <f ca="1">IFERROR(IF(T13="","",AVERAGE(OFFSET(G13,0,MAX(0,MATCH(Dashboard!$C$2,{"Apr","May","Jun","Jul","Aug","Sep","Oct","Nov","Dec","Jan","Feb","Mar"},0)-3),1,3))),"")</f>
        <v/>
      </c>
    </row>
    <row r="14" spans="1:23" ht="34.5" customHeight="1">
      <c r="A14" s="15">
        <v>10</v>
      </c>
      <c r="B14" s="37" t="s">
        <v>269</v>
      </c>
      <c r="C14" s="18" t="s">
        <v>136</v>
      </c>
      <c r="D14" s="38">
        <v>60</v>
      </c>
      <c r="E14" s="26" t="s">
        <v>131</v>
      </c>
      <c r="F14" s="18" t="s">
        <v>132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T14" s="15">
        <f>IFERROR(INDEX(G14:R14,MATCH(Dashboard!$C$2,{"Apr","May","Jun","Jul","Aug","Sep","Oct","Nov","Dec","Jan","Feb","Mar"},0)),"")</f>
        <v>0</v>
      </c>
      <c r="U14" s="22">
        <f t="shared" si="0"/>
        <v>0</v>
      </c>
      <c r="V14" s="15" t="str">
        <f t="shared" si="1"/>
        <v>RED</v>
      </c>
      <c r="W14" s="15" t="str">
        <f ca="1">IFERROR(IF(T14="","",AVERAGE(OFFSET(G14,0,MAX(0,MATCH(Dashboard!$C$2,{"Apr","May","Jun","Jul","Aug","Sep","Oct","Nov","Dec","Jan","Feb","Mar"},0)-3),1,3))),"")</f>
        <v/>
      </c>
    </row>
    <row r="15" spans="1:23" ht="34.5" customHeight="1">
      <c r="A15" s="15">
        <v>11</v>
      </c>
      <c r="B15" s="37" t="s">
        <v>270</v>
      </c>
      <c r="C15" s="18" t="s">
        <v>136</v>
      </c>
      <c r="D15" s="38">
        <v>5</v>
      </c>
      <c r="E15" s="26" t="s">
        <v>141</v>
      </c>
      <c r="F15" s="18" t="s">
        <v>132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T15" s="15">
        <f>IFERROR(INDEX(G15:R15,MATCH(Dashboard!$C$2,{"Apr","May","Jun","Jul","Aug","Sep","Oct","Nov","Dec","Jan","Feb","Mar"},0)),"")</f>
        <v>0</v>
      </c>
      <c r="U15" s="22">
        <f t="shared" si="0"/>
        <v>1.5</v>
      </c>
      <c r="V15" s="15" t="str">
        <f t="shared" si="1"/>
        <v>GREEN</v>
      </c>
      <c r="W15" s="15" t="str">
        <f ca="1">IFERROR(IF(T15="","",AVERAGE(OFFSET(G15,0,MAX(0,MATCH(Dashboard!$C$2,{"Apr","May","Jun","Jul","Aug","Sep","Oct","Nov","Dec","Jan","Feb","Mar"},0)-3),1,3))),"")</f>
        <v/>
      </c>
    </row>
    <row r="16" spans="1:23" ht="34.5" customHeight="1">
      <c r="A16" s="15">
        <v>12</v>
      </c>
      <c r="B16" s="37" t="s">
        <v>271</v>
      </c>
      <c r="C16" s="18" t="s">
        <v>130</v>
      </c>
      <c r="D16" s="38">
        <v>75</v>
      </c>
      <c r="E16" s="26" t="s">
        <v>131</v>
      </c>
      <c r="F16" s="18" t="s">
        <v>155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T16" s="15">
        <f>IFERROR(INDEX(G16:R16,MATCH(Dashboard!$C$2,{"Apr","May","Jun","Jul","Aug","Sep","Oct","Nov","Dec","Jan","Feb","Mar"},0)),"")</f>
        <v>0</v>
      </c>
      <c r="U16" s="22">
        <f t="shared" si="0"/>
        <v>0</v>
      </c>
      <c r="V16" s="15" t="str">
        <f t="shared" si="1"/>
        <v>RED</v>
      </c>
      <c r="W16" s="15" t="str">
        <f ca="1">IFERROR(IF(T16="","",AVERAGE(OFFSET(G16,0,MAX(0,MATCH(Dashboard!$C$2,{"Apr","May","Jun","Jul","Aug","Sep","Oct","Nov","Dec","Jan","Feb","Mar"},0)-3),1,3))),"")</f>
        <v/>
      </c>
    </row>
    <row r="18" spans="1:18" ht="15" customHeight="1">
      <c r="A18" s="1" t="s">
        <v>148</v>
      </c>
      <c r="B18" s="61" t="s">
        <v>149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</row>
  </sheetData>
  <mergeCells count="3">
    <mergeCell ref="A1:S1"/>
    <mergeCell ref="A2:S2"/>
    <mergeCell ref="B18:R18"/>
  </mergeCells>
  <conditionalFormatting sqref="V5:V16">
    <cfRule type="cellIs" dxfId="8" priority="2" operator="equal">
      <formula>"GREEN"</formula>
    </cfRule>
    <cfRule type="cellIs" dxfId="7" priority="3" operator="equal">
      <formula>"YELLOW"</formula>
    </cfRule>
    <cfRule type="cellIs" dxfId="6" priority="4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13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T6" sqref="T6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79" t="s">
        <v>272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1:23" ht="21.75" customHeight="1">
      <c r="A2" s="68" t="s">
        <v>273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51" t="s">
        <v>63</v>
      </c>
      <c r="B4" s="51" t="s">
        <v>110</v>
      </c>
      <c r="C4" s="51" t="s">
        <v>111</v>
      </c>
      <c r="D4" s="51" t="s">
        <v>112</v>
      </c>
      <c r="E4" s="51" t="s">
        <v>113</v>
      </c>
      <c r="F4" s="51" t="s">
        <v>114</v>
      </c>
      <c r="G4" s="51" t="s">
        <v>55</v>
      </c>
      <c r="H4" s="51" t="s">
        <v>115</v>
      </c>
      <c r="I4" s="51" t="s">
        <v>116</v>
      </c>
      <c r="J4" s="51" t="s">
        <v>117</v>
      </c>
      <c r="K4" s="51" t="s">
        <v>118</v>
      </c>
      <c r="L4" s="51" t="s">
        <v>119</v>
      </c>
      <c r="M4" s="51" t="s">
        <v>120</v>
      </c>
      <c r="N4" s="51" t="s">
        <v>121</v>
      </c>
      <c r="O4" s="51" t="s">
        <v>122</v>
      </c>
      <c r="P4" s="51" t="s">
        <v>123</v>
      </c>
      <c r="Q4" s="51" t="s">
        <v>124</v>
      </c>
      <c r="R4" s="51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274</v>
      </c>
      <c r="C5" s="18" t="s">
        <v>136</v>
      </c>
      <c r="D5" s="38">
        <v>1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0" si="0">IFERROR(IF(T5="","",IF(LEFT(E5,1)="↑",IF(D5=0,"",MIN(1.5,T5/D5)),IF(T5=0,IF(D5=0,1,1.5),MIN(1.5,D5/MAX(T5,0.0001))))),"")</f>
        <v>0</v>
      </c>
      <c r="V5" s="15" t="str">
        <f t="shared" ref="V5:V10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275</v>
      </c>
      <c r="C6" s="18" t="s">
        <v>130</v>
      </c>
      <c r="D6" s="38">
        <v>100</v>
      </c>
      <c r="E6" s="26" t="s">
        <v>131</v>
      </c>
      <c r="F6" s="18" t="s">
        <v>155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276</v>
      </c>
      <c r="C7" s="18" t="s">
        <v>136</v>
      </c>
      <c r="D7" s="38">
        <v>50</v>
      </c>
      <c r="E7" s="26" t="s">
        <v>131</v>
      </c>
      <c r="F7" s="18" t="s">
        <v>155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277</v>
      </c>
      <c r="C8" s="18" t="s">
        <v>130</v>
      </c>
      <c r="D8" s="38">
        <v>90</v>
      </c>
      <c r="E8" s="26" t="s">
        <v>131</v>
      </c>
      <c r="F8" s="18" t="s">
        <v>132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278</v>
      </c>
      <c r="C9" s="18" t="s">
        <v>130</v>
      </c>
      <c r="D9" s="38">
        <v>80</v>
      </c>
      <c r="E9" s="26" t="s">
        <v>131</v>
      </c>
      <c r="F9" s="18" t="s">
        <v>155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279</v>
      </c>
      <c r="C10" s="18" t="s">
        <v>130</v>
      </c>
      <c r="D10" s="38">
        <v>100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3" spans="1:23" ht="15" customHeight="1">
      <c r="A13" s="40" t="s">
        <v>148</v>
      </c>
      <c r="B13" s="69" t="s">
        <v>149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</row>
  </sheetData>
  <mergeCells count="3">
    <mergeCell ref="A1:S1"/>
    <mergeCell ref="A2:S2"/>
    <mergeCell ref="B13:R13"/>
  </mergeCells>
  <conditionalFormatting sqref="V5:V10">
    <cfRule type="expression" dxfId="5" priority="2">
      <formula>EXACT(V5,"GREEN")</formula>
    </cfRule>
    <cfRule type="expression" dxfId="4" priority="3">
      <formula>EXACT(V5,"YELLOW")</formula>
    </cfRule>
    <cfRule type="expression" dxfId="3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17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8" activeCellId="1" sqref="A4:R14 B8"/>
    </sheetView>
  </sheetViews>
  <sheetFormatPr defaultColWidth="8.6640625" defaultRowHeight="14.4"/>
  <cols>
    <col min="1" max="1" width="4" style="1" customWidth="1"/>
    <col min="2" max="2" width="50" style="1" customWidth="1"/>
    <col min="3" max="3" width="8" style="1" customWidth="1"/>
    <col min="4" max="4" width="9" style="1" customWidth="1"/>
    <col min="5" max="5" width="10" style="1" customWidth="1"/>
    <col min="6" max="6" width="7" style="1" customWidth="1"/>
    <col min="7" max="18" width="8" style="1" customWidth="1"/>
    <col min="20" max="20" width="12" style="1" customWidth="1"/>
    <col min="21" max="21" width="13" style="1" customWidth="1"/>
    <col min="22" max="23" width="10" style="1" customWidth="1"/>
  </cols>
  <sheetData>
    <row r="1" spans="1:23" ht="31.5" customHeight="1">
      <c r="A1" s="80" t="s">
        <v>280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 spans="1:23" ht="21.75" customHeight="1">
      <c r="A2" s="68" t="s">
        <v>281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23" ht="31.5" customHeight="1">
      <c r="A4" s="52" t="s">
        <v>63</v>
      </c>
      <c r="B4" s="52" t="s">
        <v>110</v>
      </c>
      <c r="C4" s="52" t="s">
        <v>111</v>
      </c>
      <c r="D4" s="52" t="s">
        <v>112</v>
      </c>
      <c r="E4" s="52" t="s">
        <v>113</v>
      </c>
      <c r="F4" s="52" t="s">
        <v>114</v>
      </c>
      <c r="G4" s="52" t="s">
        <v>55</v>
      </c>
      <c r="H4" s="52" t="s">
        <v>115</v>
      </c>
      <c r="I4" s="52" t="s">
        <v>116</v>
      </c>
      <c r="J4" s="52" t="s">
        <v>117</v>
      </c>
      <c r="K4" s="52" t="s">
        <v>118</v>
      </c>
      <c r="L4" s="52" t="s">
        <v>119</v>
      </c>
      <c r="M4" s="52" t="s">
        <v>120</v>
      </c>
      <c r="N4" s="52" t="s">
        <v>121</v>
      </c>
      <c r="O4" s="52" t="s">
        <v>122</v>
      </c>
      <c r="P4" s="52" t="s">
        <v>123</v>
      </c>
      <c r="Q4" s="52" t="s">
        <v>124</v>
      </c>
      <c r="R4" s="52" t="s">
        <v>125</v>
      </c>
      <c r="T4" s="36" t="s">
        <v>126</v>
      </c>
      <c r="U4" s="36" t="s">
        <v>127</v>
      </c>
      <c r="V4" s="36" t="s">
        <v>73</v>
      </c>
      <c r="W4" s="36" t="s">
        <v>128</v>
      </c>
    </row>
    <row r="5" spans="1:23" ht="34.5" customHeight="1">
      <c r="A5" s="15">
        <v>1</v>
      </c>
      <c r="B5" s="37" t="s">
        <v>282</v>
      </c>
      <c r="C5" s="18" t="s">
        <v>136</v>
      </c>
      <c r="D5" s="38">
        <v>8</v>
      </c>
      <c r="E5" s="26" t="s">
        <v>131</v>
      </c>
      <c r="F5" s="18" t="s">
        <v>132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T5" s="15">
        <f>IFERROR(INDEX(G5:R5,MATCH(Dashboard!$C$2,{"Apr","May","Jun","Jul","Aug","Sep","Oct","Nov","Dec","Jan","Feb","Mar"},0)),"")</f>
        <v>0</v>
      </c>
      <c r="U5" s="22">
        <f t="shared" ref="U5:U14" si="0">IFERROR(IF(T5="","",IF(LEFT(E5,1)="↑",IF(D5=0,"",MIN(1.5,T5/D5)),IF(T5=0,IF(D5=0,1,1.5),MIN(1.5,D5/MAX(T5,0.0001))))),"")</f>
        <v>0</v>
      </c>
      <c r="V5" s="15" t="str">
        <f t="shared" ref="V5:V14" si="1">IF(U5="","–",IF(U5&gt;=0.9,"GREEN",IF(U5&gt;=0.7,"YELLOW","RED")))</f>
        <v>RED</v>
      </c>
      <c r="W5" s="18" t="str">
        <f ca="1">IFERROR(IF(T5="","",AVERAGE(OFFSET(G5,0,MAX(0,MATCH(Dashboard!$C$2,{"Apr","May","Jun","Jul","Aug","Sep","Oct","Nov","Dec","Jan","Feb","Mar"},0)-3),1,3))),"")</f>
        <v/>
      </c>
    </row>
    <row r="6" spans="1:23" ht="34.5" customHeight="1">
      <c r="A6" s="15">
        <v>2</v>
      </c>
      <c r="B6" s="37" t="s">
        <v>283</v>
      </c>
      <c r="C6" s="18" t="s">
        <v>136</v>
      </c>
      <c r="D6" s="38">
        <v>15</v>
      </c>
      <c r="E6" s="26" t="s">
        <v>131</v>
      </c>
      <c r="F6" s="18" t="s">
        <v>132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T6" s="15">
        <f>IFERROR(INDEX(G6:R6,MATCH(Dashboard!$C$2,{"Apr","May","Jun","Jul","Aug","Sep","Oct","Nov","Dec","Jan","Feb","Mar"},0)),"")</f>
        <v>0</v>
      </c>
      <c r="U6" s="22">
        <f t="shared" si="0"/>
        <v>0</v>
      </c>
      <c r="V6" s="15" t="str">
        <f t="shared" si="1"/>
        <v>RED</v>
      </c>
      <c r="W6" s="18" t="str">
        <f ca="1">IFERROR(IF(T6="","",AVERAGE(OFFSET(G6,0,MAX(0,MATCH(Dashboard!$C$2,{"Apr","May","Jun","Jul","Aug","Sep","Oct","Nov","Dec","Jan","Feb","Mar"},0)-3),1,3))),"")</f>
        <v/>
      </c>
    </row>
    <row r="7" spans="1:23" ht="34.5" customHeight="1">
      <c r="A7" s="15">
        <v>3</v>
      </c>
      <c r="B7" s="37" t="s">
        <v>284</v>
      </c>
      <c r="C7" s="18" t="s">
        <v>130</v>
      </c>
      <c r="D7" s="38">
        <v>95</v>
      </c>
      <c r="E7" s="26" t="s">
        <v>131</v>
      </c>
      <c r="F7" s="18" t="s">
        <v>132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T7" s="15">
        <f>IFERROR(INDEX(G7:R7,MATCH(Dashboard!$C$2,{"Apr","May","Jun","Jul","Aug","Sep","Oct","Nov","Dec","Jan","Feb","Mar"},0)),"")</f>
        <v>0</v>
      </c>
      <c r="U7" s="22">
        <f t="shared" si="0"/>
        <v>0</v>
      </c>
      <c r="V7" s="15" t="str">
        <f t="shared" si="1"/>
        <v>RED</v>
      </c>
      <c r="W7" s="18" t="str">
        <f ca="1">IFERROR(IF(T7="","",AVERAGE(OFFSET(G7,0,MAX(0,MATCH(Dashboard!$C$2,{"Apr","May","Jun","Jul","Aug","Sep","Oct","Nov","Dec","Jan","Feb","Mar"},0)-3),1,3))),"")</f>
        <v/>
      </c>
    </row>
    <row r="8" spans="1:23" ht="34.5" customHeight="1">
      <c r="A8" s="15">
        <v>4</v>
      </c>
      <c r="B8" s="37" t="s">
        <v>285</v>
      </c>
      <c r="C8" s="18" t="s">
        <v>136</v>
      </c>
      <c r="D8" s="38">
        <v>100</v>
      </c>
      <c r="E8" s="26" t="s">
        <v>131</v>
      </c>
      <c r="F8" s="18" t="s">
        <v>155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T8" s="15">
        <f>IFERROR(INDEX(G8:R8,MATCH(Dashboard!$C$2,{"Apr","May","Jun","Jul","Aug","Sep","Oct","Nov","Dec","Jan","Feb","Mar"},0)),"")</f>
        <v>0</v>
      </c>
      <c r="U8" s="22">
        <f t="shared" si="0"/>
        <v>0</v>
      </c>
      <c r="V8" s="15" t="str">
        <f t="shared" si="1"/>
        <v>RED</v>
      </c>
      <c r="W8" s="18" t="str">
        <f ca="1">IFERROR(IF(T8="","",AVERAGE(OFFSET(G8,0,MAX(0,MATCH(Dashboard!$C$2,{"Apr","May","Jun","Jul","Aug","Sep","Oct","Nov","Dec","Jan","Feb","Mar"},0)-3),1,3))),"")</f>
        <v/>
      </c>
    </row>
    <row r="9" spans="1:23" ht="34.5" customHeight="1">
      <c r="A9" s="15">
        <v>5</v>
      </c>
      <c r="B9" s="37" t="s">
        <v>286</v>
      </c>
      <c r="C9" s="18" t="s">
        <v>136</v>
      </c>
      <c r="D9" s="38">
        <v>100</v>
      </c>
      <c r="E9" s="26" t="s">
        <v>131</v>
      </c>
      <c r="F9" s="18" t="s">
        <v>132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T9" s="15">
        <f>IFERROR(INDEX(G9:R9,MATCH(Dashboard!$C$2,{"Apr","May","Jun","Jul","Aug","Sep","Oct","Nov","Dec","Jan","Feb","Mar"},0)),"")</f>
        <v>0</v>
      </c>
      <c r="U9" s="22">
        <f t="shared" si="0"/>
        <v>0</v>
      </c>
      <c r="V9" s="15" t="str">
        <f t="shared" si="1"/>
        <v>RED</v>
      </c>
      <c r="W9" s="18" t="str">
        <f ca="1">IFERROR(IF(T9="","",AVERAGE(OFFSET(G9,0,MAX(0,MATCH(Dashboard!$C$2,{"Apr","May","Jun","Jul","Aug","Sep","Oct","Nov","Dec","Jan","Feb","Mar"},0)-3),1,3))),"")</f>
        <v/>
      </c>
    </row>
    <row r="10" spans="1:23" ht="34.5" customHeight="1">
      <c r="A10" s="15">
        <v>6</v>
      </c>
      <c r="B10" s="37" t="s">
        <v>287</v>
      </c>
      <c r="C10" s="18" t="s">
        <v>130</v>
      </c>
      <c r="D10" s="38">
        <v>80</v>
      </c>
      <c r="E10" s="26" t="s">
        <v>131</v>
      </c>
      <c r="F10" s="18" t="s">
        <v>132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T10" s="15">
        <f>IFERROR(INDEX(G10:R10,MATCH(Dashboard!$C$2,{"Apr","May","Jun","Jul","Aug","Sep","Oct","Nov","Dec","Jan","Feb","Mar"},0)),"")</f>
        <v>0</v>
      </c>
      <c r="U10" s="22">
        <f t="shared" si="0"/>
        <v>0</v>
      </c>
      <c r="V10" s="15" t="str">
        <f t="shared" si="1"/>
        <v>RED</v>
      </c>
      <c r="W10" s="18" t="str">
        <f ca="1">IFERROR(IF(T10="","",AVERAGE(OFFSET(G10,0,MAX(0,MATCH(Dashboard!$C$2,{"Apr","May","Jun","Jul","Aug","Sep","Oct","Nov","Dec","Jan","Feb","Mar"},0)-3),1,3))),"")</f>
        <v/>
      </c>
    </row>
    <row r="11" spans="1:23" ht="34.5" customHeight="1">
      <c r="A11" s="15">
        <v>7</v>
      </c>
      <c r="B11" s="37" t="s">
        <v>288</v>
      </c>
      <c r="C11" s="18" t="s">
        <v>130</v>
      </c>
      <c r="D11" s="38">
        <v>70</v>
      </c>
      <c r="E11" s="26" t="s">
        <v>131</v>
      </c>
      <c r="F11" s="18" t="s">
        <v>155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T11" s="15">
        <f>IFERROR(INDEX(G11:R11,MATCH(Dashboard!$C$2,{"Apr","May","Jun","Jul","Aug","Sep","Oct","Nov","Dec","Jan","Feb","Mar"},0)),"")</f>
        <v>0</v>
      </c>
      <c r="U11" s="22">
        <f t="shared" si="0"/>
        <v>0</v>
      </c>
      <c r="V11" s="15" t="str">
        <f t="shared" si="1"/>
        <v>RED</v>
      </c>
      <c r="W11" s="18" t="str">
        <f ca="1">IFERROR(IF(T11="","",AVERAGE(OFFSET(G11,0,MAX(0,MATCH(Dashboard!$C$2,{"Apr","May","Jun","Jul","Aug","Sep","Oct","Nov","Dec","Jan","Feb","Mar"},0)-3),1,3))),"")</f>
        <v/>
      </c>
    </row>
    <row r="12" spans="1:23" ht="34.5" customHeight="1">
      <c r="A12" s="15">
        <v>8</v>
      </c>
      <c r="B12" s="37" t="s">
        <v>289</v>
      </c>
      <c r="C12" s="18" t="s">
        <v>290</v>
      </c>
      <c r="D12" s="38">
        <v>1</v>
      </c>
      <c r="E12" s="26" t="s">
        <v>131</v>
      </c>
      <c r="F12" s="18" t="s">
        <v>132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T12" s="15">
        <f>IFERROR(INDEX(G12:R12,MATCH(Dashboard!$C$2,{"Apr","May","Jun","Jul","Aug","Sep","Oct","Nov","Dec","Jan","Feb","Mar"},0)),"")</f>
        <v>0</v>
      </c>
      <c r="U12" s="22">
        <f t="shared" si="0"/>
        <v>0</v>
      </c>
      <c r="V12" s="15" t="str">
        <f t="shared" si="1"/>
        <v>RED</v>
      </c>
      <c r="W12" s="18" t="str">
        <f ca="1">IFERROR(IF(T12="","",AVERAGE(OFFSET(G12,0,MAX(0,MATCH(Dashboard!$C$2,{"Apr","May","Jun","Jul","Aug","Sep","Oct","Nov","Dec","Jan","Feb","Mar"},0)-3),1,3))),"")</f>
        <v/>
      </c>
    </row>
    <row r="13" spans="1:23" ht="34.5" customHeight="1">
      <c r="A13" s="15">
        <v>9</v>
      </c>
      <c r="B13" s="37" t="s">
        <v>291</v>
      </c>
      <c r="C13" s="18" t="s">
        <v>136</v>
      </c>
      <c r="D13" s="38">
        <v>4</v>
      </c>
      <c r="E13" s="26" t="s">
        <v>131</v>
      </c>
      <c r="F13" s="18" t="s">
        <v>132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T13" s="15">
        <f>IFERROR(INDEX(G13:R13,MATCH(Dashboard!$C$2,{"Apr","May","Jun","Jul","Aug","Sep","Oct","Nov","Dec","Jan","Feb","Mar"},0)),"")</f>
        <v>0</v>
      </c>
      <c r="U13" s="22">
        <f t="shared" si="0"/>
        <v>0</v>
      </c>
      <c r="V13" s="15" t="str">
        <f t="shared" si="1"/>
        <v>RED</v>
      </c>
      <c r="W13" s="18" t="str">
        <f ca="1">IFERROR(IF(T13="","",AVERAGE(OFFSET(G13,0,MAX(0,MATCH(Dashboard!$C$2,{"Apr","May","Jun","Jul","Aug","Sep","Oct","Nov","Dec","Jan","Feb","Mar"},0)-3),1,3))),"")</f>
        <v/>
      </c>
    </row>
    <row r="14" spans="1:23" ht="34.5" customHeight="1">
      <c r="A14" s="15">
        <v>10</v>
      </c>
      <c r="B14" s="37" t="s">
        <v>292</v>
      </c>
      <c r="C14" s="18" t="s">
        <v>136</v>
      </c>
      <c r="D14" s="38">
        <v>30</v>
      </c>
      <c r="E14" s="26" t="s">
        <v>141</v>
      </c>
      <c r="F14" s="18" t="s">
        <v>132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T14" s="15">
        <f>IFERROR(INDEX(G14:R14,MATCH(Dashboard!$C$2,{"Apr","May","Jun","Jul","Aug","Sep","Oct","Nov","Dec","Jan","Feb","Mar"},0)),"")</f>
        <v>0</v>
      </c>
      <c r="U14" s="22">
        <f t="shared" si="0"/>
        <v>1.5</v>
      </c>
      <c r="V14" s="15" t="str">
        <f t="shared" si="1"/>
        <v>GREEN</v>
      </c>
      <c r="W14" s="18" t="str">
        <f ca="1">IFERROR(IF(T14="","",AVERAGE(OFFSET(G14,0,MAX(0,MATCH(Dashboard!$C$2,{"Apr","May","Jun","Jul","Aug","Sep","Oct","Nov","Dec","Jan","Feb","Mar"},0)-3),1,3))),"")</f>
        <v/>
      </c>
    </row>
    <row r="17" spans="1:18" ht="15" customHeight="1">
      <c r="A17" s="40" t="s">
        <v>148</v>
      </c>
      <c r="B17" s="69" t="s">
        <v>149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</row>
  </sheetData>
  <mergeCells count="3">
    <mergeCell ref="A1:S1"/>
    <mergeCell ref="A2:S2"/>
    <mergeCell ref="B17:R17"/>
  </mergeCells>
  <conditionalFormatting sqref="V5:V14">
    <cfRule type="expression" dxfId="2" priority="2">
      <formula>EXACT(V5,"GREEN")</formula>
    </cfRule>
    <cfRule type="expression" dxfId="1" priority="3">
      <formula>EXACT(V5,"YELLOW")</formula>
    </cfRule>
    <cfRule type="expression" dxfId="0" priority="4">
      <formula>EXACT(V5,"RED")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8"/>
  <sheetViews>
    <sheetView showGridLines="0" workbookViewId="0">
      <pane xSplit="2" ySplit="4" topLeftCell="C8" activePane="bottomRight" state="frozen"/>
      <selection pane="topRight" activeCell="C1" sqref="C1"/>
      <selection pane="bottomLeft" activeCell="A5" sqref="A5"/>
      <selection pane="bottomRight" sqref="A1:N1"/>
    </sheetView>
  </sheetViews>
  <sheetFormatPr defaultColWidth="8.6640625" defaultRowHeight="14.4"/>
  <cols>
    <col min="1" max="1" width="38" style="1" customWidth="1"/>
    <col min="2" max="2" width="30" style="1" customWidth="1"/>
    <col min="3" max="14" width="9" style="1" customWidth="1"/>
  </cols>
  <sheetData>
    <row r="1" spans="1:14" ht="31.5" customHeight="1">
      <c r="A1" s="81" t="s">
        <v>293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15" customHeight="1">
      <c r="A2" s="64" t="s">
        <v>294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4" spans="1:14" ht="31.5" customHeight="1">
      <c r="A4" s="14" t="s">
        <v>64</v>
      </c>
      <c r="B4" s="14" t="s">
        <v>65</v>
      </c>
      <c r="C4" s="14" t="s">
        <v>55</v>
      </c>
      <c r="D4" s="14" t="s">
        <v>115</v>
      </c>
      <c r="E4" s="14" t="s">
        <v>116</v>
      </c>
      <c r="F4" s="14" t="s">
        <v>117</v>
      </c>
      <c r="G4" s="14" t="s">
        <v>118</v>
      </c>
      <c r="H4" s="14" t="s">
        <v>119</v>
      </c>
      <c r="I4" s="14" t="s">
        <v>120</v>
      </c>
      <c r="J4" s="14" t="s">
        <v>121</v>
      </c>
      <c r="K4" s="14" t="s">
        <v>122</v>
      </c>
      <c r="L4" s="14" t="s">
        <v>123</v>
      </c>
      <c r="M4" s="14" t="s">
        <v>124</v>
      </c>
      <c r="N4" s="14" t="s">
        <v>125</v>
      </c>
    </row>
    <row r="5" spans="1:14" ht="25.5" customHeight="1">
      <c r="A5" s="16" t="s">
        <v>77</v>
      </c>
      <c r="B5" s="17" t="s">
        <v>78</v>
      </c>
      <c r="C5" s="53">
        <f>IFERROR((SUMPRODUCT((LEFT('KRA H - Health Service Deliver'!$E$5:$E$16,1)="↑")*(('KRA H - Health Service Deliver'!$G$5:$G$16&lt;&gt;"")*1)*IFERROR('KRA H - Health Service Deliver'!$G$5:$G$16/IF('KRA H - Health Service Deliver'!$D$5:$D$16=0,1,'KRA H - Health Service Deliver'!$D$5:$D$16),0))+SUMPRODUCT((LEFT('KRA H - Health Service Deliver'!$E$5:$E$16,1)="↓")*(('KRA H - Health Service Deliver'!$G$5:$G$16&lt;&gt;"")*1)*IFERROR('KRA H - Health Service Deliver'!$D$5:$D$16/IF('KRA H - Health Service Deliver'!$G$5:$G$16=0,0.0001,'KRA H - Health Service Deliver'!$G$5:$G$16),0)))/MAX(1,SUMPRODUCT(('KRA H - Health Service Deliver'!$G$5:$G$16&lt;&gt;"")*1)),"")</f>
        <v>0</v>
      </c>
      <c r="D5" s="53">
        <f>IFERROR((SUMPRODUCT((LEFT('KRA H - Health Service Deliver'!$E$5:$E$16,1)="↑")*(('KRA H - Health Service Deliver'!$H$5:$H$16&lt;&gt;"")*1)*IFERROR('KRA H - Health Service Deliver'!$H$5:$H$16/IF('KRA H - Health Service Deliver'!$D$5:$D$16=0,1,'KRA H - Health Service Deliver'!$D$5:$D$16),0))+SUMPRODUCT((LEFT('KRA H - Health Service Deliver'!$E$5:$E$16,1)="↓")*(('KRA H - Health Service Deliver'!$H$5:$H$16&lt;&gt;"")*1)*IFERROR('KRA H - Health Service Deliver'!$D$5:$D$16/IF('KRA H - Health Service Deliver'!$H$5:$H$16=0,0.0001,'KRA H - Health Service Deliver'!$H$5:$H$16),0)))/MAX(1,SUMPRODUCT(('KRA H - Health Service Deliver'!$H$5:$H$16&lt;&gt;"")*1)),"")</f>
        <v>0</v>
      </c>
      <c r="E5" s="53">
        <f>IFERROR((SUMPRODUCT((LEFT('KRA H - Health Service Deliver'!$E$5:$E$16,1)="↑")*(('KRA H - Health Service Deliver'!$I$5:$I$16&lt;&gt;"")*1)*IFERROR('KRA H - Health Service Deliver'!$I$5:$I$16/IF('KRA H - Health Service Deliver'!$D$5:$D$16=0,1,'KRA H - Health Service Deliver'!$D$5:$D$16),0))+SUMPRODUCT((LEFT('KRA H - Health Service Deliver'!$E$5:$E$16,1)="↓")*(('KRA H - Health Service Deliver'!$I$5:$I$16&lt;&gt;"")*1)*IFERROR('KRA H - Health Service Deliver'!$D$5:$D$16/IF('KRA H - Health Service Deliver'!$I$5:$I$16=0,0.0001,'KRA H - Health Service Deliver'!$I$5:$I$16),0)))/MAX(1,SUMPRODUCT(('KRA H - Health Service Deliver'!$I$5:$I$16&lt;&gt;"")*1)),"")</f>
        <v>0</v>
      </c>
      <c r="F5" s="53">
        <f>IFERROR((SUMPRODUCT((LEFT('KRA H - Health Service Deliver'!$E$5:$E$16,1)="↑")*(('KRA H - Health Service Deliver'!$J$5:$J$16&lt;&gt;"")*1)*IFERROR('KRA H - Health Service Deliver'!$J$5:$J$16/IF('KRA H - Health Service Deliver'!$D$5:$D$16=0,1,'KRA H - Health Service Deliver'!$D$5:$D$16),0))+SUMPRODUCT((LEFT('KRA H - Health Service Deliver'!$E$5:$E$16,1)="↓")*(('KRA H - Health Service Deliver'!$J$5:$J$16&lt;&gt;"")*1)*IFERROR('KRA H - Health Service Deliver'!$D$5:$D$16/IF('KRA H - Health Service Deliver'!$J$5:$J$16=0,0.0001,'KRA H - Health Service Deliver'!$J$5:$J$16),0)))/MAX(1,SUMPRODUCT(('KRA H - Health Service Deliver'!$J$5:$J$16&lt;&gt;"")*1)),"")</f>
        <v>0</v>
      </c>
      <c r="G5" s="53">
        <f>IFERROR((SUMPRODUCT((LEFT('KRA H - Health Service Deliver'!$E$5:$E$16,1)="↑")*(('KRA H - Health Service Deliver'!$K$5:$K$16&lt;&gt;"")*1)*IFERROR('KRA H - Health Service Deliver'!$K$5:$K$16/IF('KRA H - Health Service Deliver'!$D$5:$D$16=0,1,'KRA H - Health Service Deliver'!$D$5:$D$16),0))+SUMPRODUCT((LEFT('KRA H - Health Service Deliver'!$E$5:$E$16,1)="↓")*(('KRA H - Health Service Deliver'!$K$5:$K$16&lt;&gt;"")*1)*IFERROR('KRA H - Health Service Deliver'!$D$5:$D$16/IF('KRA H - Health Service Deliver'!$K$5:$K$16=0,0.0001,'KRA H - Health Service Deliver'!$K$5:$K$16),0)))/MAX(1,SUMPRODUCT(('KRA H - Health Service Deliver'!$K$5:$K$16&lt;&gt;"")*1)),"")</f>
        <v>0</v>
      </c>
      <c r="H5" s="53">
        <f>IFERROR((SUMPRODUCT((LEFT('KRA H - Health Service Deliver'!$E$5:$E$16,1)="↑")*(('KRA H - Health Service Deliver'!$L$5:$L$16&lt;&gt;"")*1)*IFERROR('KRA H - Health Service Deliver'!$L$5:$L$16/IF('KRA H - Health Service Deliver'!$D$5:$D$16=0,1,'KRA H - Health Service Deliver'!$D$5:$D$16),0))+SUMPRODUCT((LEFT('KRA H - Health Service Deliver'!$E$5:$E$16,1)="↓")*(('KRA H - Health Service Deliver'!$L$5:$L$16&lt;&gt;"")*1)*IFERROR('KRA H - Health Service Deliver'!$D$5:$D$16/IF('KRA H - Health Service Deliver'!$L$5:$L$16=0,0.0001,'KRA H - Health Service Deliver'!$L$5:$L$16),0)))/MAX(1,SUMPRODUCT(('KRA H - Health Service Deliver'!$L$5:$L$16&lt;&gt;"")*1)),"")</f>
        <v>0</v>
      </c>
      <c r="I5" s="53">
        <f>IFERROR((SUMPRODUCT((LEFT('KRA H - Health Service Deliver'!$E$5:$E$16,1)="↑")*(('KRA H - Health Service Deliver'!$M$5:$M$16&lt;&gt;"")*1)*IFERROR('KRA H - Health Service Deliver'!$M$5:$M$16/IF('KRA H - Health Service Deliver'!$D$5:$D$16=0,1,'KRA H - Health Service Deliver'!$D$5:$D$16),0))+SUMPRODUCT((LEFT('KRA H - Health Service Deliver'!$E$5:$E$16,1)="↓")*(('KRA H - Health Service Deliver'!$M$5:$M$16&lt;&gt;"")*1)*IFERROR('KRA H - Health Service Deliver'!$D$5:$D$16/IF('KRA H - Health Service Deliver'!$M$5:$M$16=0,0.0001,'KRA H - Health Service Deliver'!$M$5:$M$16),0)))/MAX(1,SUMPRODUCT(('KRA H - Health Service Deliver'!$M$5:$M$16&lt;&gt;"")*1)),"")</f>
        <v>0</v>
      </c>
      <c r="J5" s="53">
        <f>IFERROR((SUMPRODUCT((LEFT('KRA H - Health Service Deliver'!$E$5:$E$16,1)="↑")*(('KRA H - Health Service Deliver'!$N$5:$N$16&lt;&gt;"")*1)*IFERROR('KRA H - Health Service Deliver'!$N$5:$N$16/IF('KRA H - Health Service Deliver'!$D$5:$D$16=0,1,'KRA H - Health Service Deliver'!$D$5:$D$16),0))+SUMPRODUCT((LEFT('KRA H - Health Service Deliver'!$E$5:$E$16,1)="↓")*(('KRA H - Health Service Deliver'!$N$5:$N$16&lt;&gt;"")*1)*IFERROR('KRA H - Health Service Deliver'!$D$5:$D$16/IF('KRA H - Health Service Deliver'!$N$5:$N$16=0,0.0001,'KRA H - Health Service Deliver'!$N$5:$N$16),0)))/MAX(1,SUMPRODUCT(('KRA H - Health Service Deliver'!$N$5:$N$16&lt;&gt;"")*1)),"")</f>
        <v>0</v>
      </c>
      <c r="K5" s="53">
        <f>IFERROR((SUMPRODUCT((LEFT('KRA H - Health Service Deliver'!$E$5:$E$16,1)="↑")*(('KRA H - Health Service Deliver'!$O$5:$O$16&lt;&gt;"")*1)*IFERROR('KRA H - Health Service Deliver'!$O$5:$O$16/IF('KRA H - Health Service Deliver'!$D$5:$D$16=0,1,'KRA H - Health Service Deliver'!$D$5:$D$16),0))+SUMPRODUCT((LEFT('KRA H - Health Service Deliver'!$E$5:$E$16,1)="↓")*(('KRA H - Health Service Deliver'!$O$5:$O$16&lt;&gt;"")*1)*IFERROR('KRA H - Health Service Deliver'!$D$5:$D$16/IF('KRA H - Health Service Deliver'!$O$5:$O$16=0,0.0001,'KRA H - Health Service Deliver'!$O$5:$O$16),0)))/MAX(1,SUMPRODUCT(('KRA H - Health Service Deliver'!$O$5:$O$16&lt;&gt;"")*1)),"")</f>
        <v>0</v>
      </c>
      <c r="L5" s="53">
        <f>IFERROR((SUMPRODUCT((LEFT('KRA H - Health Service Deliver'!$E$5:$E$16,1)="↑")*(('KRA H - Health Service Deliver'!$P$5:$P$16&lt;&gt;"")*1)*IFERROR('KRA H - Health Service Deliver'!$P$5:$P$16/IF('KRA H - Health Service Deliver'!$D$5:$D$16=0,1,'KRA H - Health Service Deliver'!$D$5:$D$16),0))+SUMPRODUCT((LEFT('KRA H - Health Service Deliver'!$E$5:$E$16,1)="↓")*(('KRA H - Health Service Deliver'!$P$5:$P$16&lt;&gt;"")*1)*IFERROR('KRA H - Health Service Deliver'!$D$5:$D$16/IF('KRA H - Health Service Deliver'!$P$5:$P$16=0,0.0001,'KRA H - Health Service Deliver'!$P$5:$P$16),0)))/MAX(1,SUMPRODUCT(('KRA H - Health Service Deliver'!$P$5:$P$16&lt;&gt;"")*1)),"")</f>
        <v>0</v>
      </c>
      <c r="M5" s="53">
        <f>IFERROR((SUMPRODUCT((LEFT('KRA H - Health Service Deliver'!$E$5:$E$16,1)="↑")*(('KRA H - Health Service Deliver'!$Q$5:$Q$16&lt;&gt;"")*1)*IFERROR('KRA H - Health Service Deliver'!$Q$5:$Q$16/IF('KRA H - Health Service Deliver'!$D$5:$D$16=0,1,'KRA H - Health Service Deliver'!$D$5:$D$16),0))+SUMPRODUCT((LEFT('KRA H - Health Service Deliver'!$E$5:$E$16,1)="↓")*(('KRA H - Health Service Deliver'!$Q$5:$Q$16&lt;&gt;"")*1)*IFERROR('KRA H - Health Service Deliver'!$D$5:$D$16/IF('KRA H - Health Service Deliver'!$Q$5:$Q$16=0,0.0001,'KRA H - Health Service Deliver'!$Q$5:$Q$16),0)))/MAX(1,SUMPRODUCT(('KRA H - Health Service Deliver'!$Q$5:$Q$16&lt;&gt;"")*1)),"")</f>
        <v>0</v>
      </c>
      <c r="N5" s="53">
        <f>IFERROR((SUMPRODUCT((LEFT('KRA H - Health Service Deliver'!$E$5:$E$16,1)="↑")*(('KRA H - Health Service Deliver'!$R$5:$R$16&lt;&gt;"")*1)*IFERROR('KRA H - Health Service Deliver'!$R$5:$R$16/IF('KRA H - Health Service Deliver'!$D$5:$D$16=0,1,'KRA H - Health Service Deliver'!$D$5:$D$16),0))+SUMPRODUCT((LEFT('KRA H - Health Service Deliver'!$E$5:$E$16,1)="↓")*(('KRA H - Health Service Deliver'!$R$5:$R$16&lt;&gt;"")*1)*IFERROR('KRA H - Health Service Deliver'!$D$5:$D$16/IF('KRA H - Health Service Deliver'!$R$5:$R$16=0,0.0001,'KRA H - Health Service Deliver'!$R$5:$R$16),0)))/MAX(1,SUMPRODUCT(('KRA H - Health Service Deliver'!$R$5:$R$16&lt;&gt;"")*1)),"")</f>
        <v>0</v>
      </c>
    </row>
    <row r="6" spans="1:14" ht="25.5" customHeight="1">
      <c r="A6" s="16" t="s">
        <v>80</v>
      </c>
      <c r="B6" s="17" t="s">
        <v>81</v>
      </c>
      <c r="C6" s="53">
        <f>IFERROR((SUMPRODUCT((LEFT('KRA E - Education Attendance &amp;'!$E$5:$E$16,1)="↑")*(('KRA E - Education Attendance &amp;'!$G$5:$G$16&lt;&gt;"")*1)*IFERROR('KRA E - Education Attendance &amp;'!$G$5:$G$16/IF('KRA E - Education Attendance &amp;'!$D$5:$D$16=0,1,'KRA E - Education Attendance &amp;'!$D$5:$D$16),0))+SUMPRODUCT((LEFT('KRA E - Education Attendance &amp;'!$E$5:$E$16,1)="↓")*(('KRA E - Education Attendance &amp;'!$G$5:$G$16&lt;&gt;"")*1)*IFERROR('KRA E - Education Attendance &amp;'!$D$5:$D$16/IF('KRA E - Education Attendance &amp;'!$G$5:$G$16=0,0.0001,'KRA E - Education Attendance &amp;'!$G$5:$G$16),0)))/MAX(1,SUMPRODUCT(('KRA E - Education Attendance &amp;'!$G$5:$G$16&lt;&gt;"")*1)),"")</f>
        <v>0</v>
      </c>
      <c r="D6" s="53">
        <f>IFERROR((SUMPRODUCT((LEFT('KRA E - Education Attendance &amp;'!$E$5:$E$16,1)="↑")*(('KRA E - Education Attendance &amp;'!$H$5:$H$16&lt;&gt;"")*1)*IFERROR('KRA E - Education Attendance &amp;'!$H$5:$H$16/IF('KRA E - Education Attendance &amp;'!$D$5:$D$16=0,1,'KRA E - Education Attendance &amp;'!$D$5:$D$16),0))+SUMPRODUCT((LEFT('KRA E - Education Attendance &amp;'!$E$5:$E$16,1)="↓")*(('KRA E - Education Attendance &amp;'!$H$5:$H$16&lt;&gt;"")*1)*IFERROR('KRA E - Education Attendance &amp;'!$D$5:$D$16/IF('KRA E - Education Attendance &amp;'!$H$5:$H$16=0,0.0001,'KRA E - Education Attendance &amp;'!$H$5:$H$16),0)))/MAX(1,SUMPRODUCT(('KRA E - Education Attendance &amp;'!$H$5:$H$16&lt;&gt;"")*1)),"")</f>
        <v>0</v>
      </c>
      <c r="E6" s="53">
        <f>IFERROR((SUMPRODUCT((LEFT('KRA E - Education Attendance &amp;'!$E$5:$E$16,1)="↑")*(('KRA E - Education Attendance &amp;'!$I$5:$I$16&lt;&gt;"")*1)*IFERROR('KRA E - Education Attendance &amp;'!$I$5:$I$16/IF('KRA E - Education Attendance &amp;'!$D$5:$D$16=0,1,'KRA E - Education Attendance &amp;'!$D$5:$D$16),0))+SUMPRODUCT((LEFT('KRA E - Education Attendance &amp;'!$E$5:$E$16,1)="↓")*(('KRA E - Education Attendance &amp;'!$I$5:$I$16&lt;&gt;"")*1)*IFERROR('KRA E - Education Attendance &amp;'!$D$5:$D$16/IF('KRA E - Education Attendance &amp;'!$I$5:$I$16=0,0.0001,'KRA E - Education Attendance &amp;'!$I$5:$I$16),0)))/MAX(1,SUMPRODUCT(('KRA E - Education Attendance &amp;'!$I$5:$I$16&lt;&gt;"")*1)),"")</f>
        <v>0</v>
      </c>
      <c r="F6" s="53">
        <f>IFERROR((SUMPRODUCT((LEFT('KRA E - Education Attendance &amp;'!$E$5:$E$16,1)="↑")*(('KRA E - Education Attendance &amp;'!$J$5:$J$16&lt;&gt;"")*1)*IFERROR('KRA E - Education Attendance &amp;'!$J$5:$J$16/IF('KRA E - Education Attendance &amp;'!$D$5:$D$16=0,1,'KRA E - Education Attendance &amp;'!$D$5:$D$16),0))+SUMPRODUCT((LEFT('KRA E - Education Attendance &amp;'!$E$5:$E$16,1)="↓")*(('KRA E - Education Attendance &amp;'!$J$5:$J$16&lt;&gt;"")*1)*IFERROR('KRA E - Education Attendance &amp;'!$D$5:$D$16/IF('KRA E - Education Attendance &amp;'!$J$5:$J$16=0,0.0001,'KRA E - Education Attendance &amp;'!$J$5:$J$16),0)))/MAX(1,SUMPRODUCT(('KRA E - Education Attendance &amp;'!$J$5:$J$16&lt;&gt;"")*1)),"")</f>
        <v>0</v>
      </c>
      <c r="G6" s="53">
        <f>IFERROR((SUMPRODUCT((LEFT('KRA E - Education Attendance &amp;'!$E$5:$E$16,1)="↑")*(('KRA E - Education Attendance &amp;'!$K$5:$K$16&lt;&gt;"")*1)*IFERROR('KRA E - Education Attendance &amp;'!$K$5:$K$16/IF('KRA E - Education Attendance &amp;'!$D$5:$D$16=0,1,'KRA E - Education Attendance &amp;'!$D$5:$D$16),0))+SUMPRODUCT((LEFT('KRA E - Education Attendance &amp;'!$E$5:$E$16,1)="↓")*(('KRA E - Education Attendance &amp;'!$K$5:$K$16&lt;&gt;"")*1)*IFERROR('KRA E - Education Attendance &amp;'!$D$5:$D$16/IF('KRA E - Education Attendance &amp;'!$K$5:$K$16=0,0.0001,'KRA E - Education Attendance &amp;'!$K$5:$K$16),0)))/MAX(1,SUMPRODUCT(('KRA E - Education Attendance &amp;'!$K$5:$K$16&lt;&gt;"")*1)),"")</f>
        <v>0</v>
      </c>
      <c r="H6" s="53">
        <f>IFERROR((SUMPRODUCT((LEFT('KRA E - Education Attendance &amp;'!$E$5:$E$16,1)="↑")*(('KRA E - Education Attendance &amp;'!$L$5:$L$16&lt;&gt;"")*1)*IFERROR('KRA E - Education Attendance &amp;'!$L$5:$L$16/IF('KRA E - Education Attendance &amp;'!$D$5:$D$16=0,1,'KRA E - Education Attendance &amp;'!$D$5:$D$16),0))+SUMPRODUCT((LEFT('KRA E - Education Attendance &amp;'!$E$5:$E$16,1)="↓")*(('KRA E - Education Attendance &amp;'!$L$5:$L$16&lt;&gt;"")*1)*IFERROR('KRA E - Education Attendance &amp;'!$D$5:$D$16/IF('KRA E - Education Attendance &amp;'!$L$5:$L$16=0,0.0001,'KRA E - Education Attendance &amp;'!$L$5:$L$16),0)))/MAX(1,SUMPRODUCT(('KRA E - Education Attendance &amp;'!$L$5:$L$16&lt;&gt;"")*1)),"")</f>
        <v>0</v>
      </c>
      <c r="I6" s="53">
        <f>IFERROR((SUMPRODUCT((LEFT('KRA E - Education Attendance &amp;'!$E$5:$E$16,1)="↑")*(('KRA E - Education Attendance &amp;'!$M$5:$M$16&lt;&gt;"")*1)*IFERROR('KRA E - Education Attendance &amp;'!$M$5:$M$16/IF('KRA E - Education Attendance &amp;'!$D$5:$D$16=0,1,'KRA E - Education Attendance &amp;'!$D$5:$D$16),0))+SUMPRODUCT((LEFT('KRA E - Education Attendance &amp;'!$E$5:$E$16,1)="↓")*(('KRA E - Education Attendance &amp;'!$M$5:$M$16&lt;&gt;"")*1)*IFERROR('KRA E - Education Attendance &amp;'!$D$5:$D$16/IF('KRA E - Education Attendance &amp;'!$M$5:$M$16=0,0.0001,'KRA E - Education Attendance &amp;'!$M$5:$M$16),0)))/MAX(1,SUMPRODUCT(('KRA E - Education Attendance &amp;'!$M$5:$M$16&lt;&gt;"")*1)),"")</f>
        <v>0</v>
      </c>
      <c r="J6" s="53">
        <f>IFERROR((SUMPRODUCT((LEFT('KRA E - Education Attendance &amp;'!$E$5:$E$16,1)="↑")*(('KRA E - Education Attendance &amp;'!$N$5:$N$16&lt;&gt;"")*1)*IFERROR('KRA E - Education Attendance &amp;'!$N$5:$N$16/IF('KRA E - Education Attendance &amp;'!$D$5:$D$16=0,1,'KRA E - Education Attendance &amp;'!$D$5:$D$16),0))+SUMPRODUCT((LEFT('KRA E - Education Attendance &amp;'!$E$5:$E$16,1)="↓")*(('KRA E - Education Attendance &amp;'!$N$5:$N$16&lt;&gt;"")*1)*IFERROR('KRA E - Education Attendance &amp;'!$D$5:$D$16/IF('KRA E - Education Attendance &amp;'!$N$5:$N$16=0,0.0001,'KRA E - Education Attendance &amp;'!$N$5:$N$16),0)))/MAX(1,SUMPRODUCT(('KRA E - Education Attendance &amp;'!$N$5:$N$16&lt;&gt;"")*1)),"")</f>
        <v>0</v>
      </c>
      <c r="K6" s="53">
        <f>IFERROR((SUMPRODUCT((LEFT('KRA E - Education Attendance &amp;'!$E$5:$E$16,1)="↑")*(('KRA E - Education Attendance &amp;'!$O$5:$O$16&lt;&gt;"")*1)*IFERROR('KRA E - Education Attendance &amp;'!$O$5:$O$16/IF('KRA E - Education Attendance &amp;'!$D$5:$D$16=0,1,'KRA E - Education Attendance &amp;'!$D$5:$D$16),0))+SUMPRODUCT((LEFT('KRA E - Education Attendance &amp;'!$E$5:$E$16,1)="↓")*(('KRA E - Education Attendance &amp;'!$O$5:$O$16&lt;&gt;"")*1)*IFERROR('KRA E - Education Attendance &amp;'!$D$5:$D$16/IF('KRA E - Education Attendance &amp;'!$O$5:$O$16=0,0.0001,'KRA E - Education Attendance &amp;'!$O$5:$O$16),0)))/MAX(1,SUMPRODUCT(('KRA E - Education Attendance &amp;'!$O$5:$O$16&lt;&gt;"")*1)),"")</f>
        <v>0</v>
      </c>
      <c r="L6" s="53">
        <f>IFERROR((SUMPRODUCT((LEFT('KRA E - Education Attendance &amp;'!$E$5:$E$16,1)="↑")*(('KRA E - Education Attendance &amp;'!$P$5:$P$16&lt;&gt;"")*1)*IFERROR('KRA E - Education Attendance &amp;'!$P$5:$P$16/IF('KRA E - Education Attendance &amp;'!$D$5:$D$16=0,1,'KRA E - Education Attendance &amp;'!$D$5:$D$16),0))+SUMPRODUCT((LEFT('KRA E - Education Attendance &amp;'!$E$5:$E$16,1)="↓")*(('KRA E - Education Attendance &amp;'!$P$5:$P$16&lt;&gt;"")*1)*IFERROR('KRA E - Education Attendance &amp;'!$D$5:$D$16/IF('KRA E - Education Attendance &amp;'!$P$5:$P$16=0,0.0001,'KRA E - Education Attendance &amp;'!$P$5:$P$16),0)))/MAX(1,SUMPRODUCT(('KRA E - Education Attendance &amp;'!$P$5:$P$16&lt;&gt;"")*1)),"")</f>
        <v>0</v>
      </c>
      <c r="M6" s="53">
        <f>IFERROR((SUMPRODUCT((LEFT('KRA E - Education Attendance &amp;'!$E$5:$E$16,1)="↑")*(('KRA E - Education Attendance &amp;'!$Q$5:$Q$16&lt;&gt;"")*1)*IFERROR('KRA E - Education Attendance &amp;'!$Q$5:$Q$16/IF('KRA E - Education Attendance &amp;'!$D$5:$D$16=0,1,'KRA E - Education Attendance &amp;'!$D$5:$D$16),0))+SUMPRODUCT((LEFT('KRA E - Education Attendance &amp;'!$E$5:$E$16,1)="↓")*(('KRA E - Education Attendance &amp;'!$Q$5:$Q$16&lt;&gt;"")*1)*IFERROR('KRA E - Education Attendance &amp;'!$D$5:$D$16/IF('KRA E - Education Attendance &amp;'!$Q$5:$Q$16=0,0.0001,'KRA E - Education Attendance &amp;'!$Q$5:$Q$16),0)))/MAX(1,SUMPRODUCT(('KRA E - Education Attendance &amp;'!$Q$5:$Q$16&lt;&gt;"")*1)),"")</f>
        <v>0</v>
      </c>
      <c r="N6" s="53">
        <f>IFERROR((SUMPRODUCT((LEFT('KRA E - Education Attendance &amp;'!$E$5:$E$16,1)="↑")*(('KRA E - Education Attendance &amp;'!$R$5:$R$16&lt;&gt;"")*1)*IFERROR('KRA E - Education Attendance &amp;'!$R$5:$R$16/IF('KRA E - Education Attendance &amp;'!$D$5:$D$16=0,1,'KRA E - Education Attendance &amp;'!$D$5:$D$16),0))+SUMPRODUCT((LEFT('KRA E - Education Attendance &amp;'!$E$5:$E$16,1)="↓")*(('KRA E - Education Attendance &amp;'!$R$5:$R$16&lt;&gt;"")*1)*IFERROR('KRA E - Education Attendance &amp;'!$D$5:$D$16/IF('KRA E - Education Attendance &amp;'!$R$5:$R$16=0,0.0001,'KRA E - Education Attendance &amp;'!$R$5:$R$16),0)))/MAX(1,SUMPRODUCT(('KRA E - Education Attendance &amp;'!$R$5:$R$16&lt;&gt;"")*1)),"")</f>
        <v>0</v>
      </c>
    </row>
    <row r="7" spans="1:14" ht="25.5" customHeight="1">
      <c r="A7" s="16" t="s">
        <v>82</v>
      </c>
      <c r="B7" s="17" t="s">
        <v>83</v>
      </c>
      <c r="C7" s="53">
        <f>IFERROR((SUMPRODUCT((LEFT('KRA A - Anganwadi &amp; ECCE'!$E$5:$E$13,1)="↑")*(('KRA A - Anganwadi &amp; ECCE'!$G$5:$G$13&lt;&gt;"")*1)*IFERROR('KRA A - Anganwadi &amp; ECCE'!$G$5:$G$13/IF('KRA A - Anganwadi &amp; ECCE'!$D$5:$D$13=0,1,'KRA A - Anganwadi &amp; ECCE'!$D$5:$D$13),0))+SUMPRODUCT((LEFT('KRA A - Anganwadi &amp; ECCE'!$E$5:$E$13,1)="↓")*(('KRA A - Anganwadi &amp; ECCE'!$G$5:$G$13&lt;&gt;"")*1)*IFERROR('KRA A - Anganwadi &amp; ECCE'!$D$5:$D$13/IF('KRA A - Anganwadi &amp; ECCE'!$G$5:$G$13=0,0.0001,'KRA A - Anganwadi &amp; ECCE'!$G$5:$G$13),0)))/MAX(1,SUMPRODUCT(('KRA A - Anganwadi &amp; ECCE'!$G$5:$G$13&lt;&gt;"")*1)),"")</f>
        <v>0</v>
      </c>
      <c r="D7" s="53">
        <f>IFERROR((SUMPRODUCT((LEFT('KRA A - Anganwadi &amp; ECCE'!$E$5:$E$13,1)="↑")*(('KRA A - Anganwadi &amp; ECCE'!$H$5:$H$13&lt;&gt;"")*1)*IFERROR('KRA A - Anganwadi &amp; ECCE'!$H$5:$H$13/IF('KRA A - Anganwadi &amp; ECCE'!$D$5:$D$13=0,1,'KRA A - Anganwadi &amp; ECCE'!$D$5:$D$13),0))+SUMPRODUCT((LEFT('KRA A - Anganwadi &amp; ECCE'!$E$5:$E$13,1)="↓")*(('KRA A - Anganwadi &amp; ECCE'!$H$5:$H$13&lt;&gt;"")*1)*IFERROR('KRA A - Anganwadi &amp; ECCE'!$D$5:$D$13/IF('KRA A - Anganwadi &amp; ECCE'!$H$5:$H$13=0,0.0001,'KRA A - Anganwadi &amp; ECCE'!$H$5:$H$13),0)))/MAX(1,SUMPRODUCT(('KRA A - Anganwadi &amp; ECCE'!$H$5:$H$13&lt;&gt;"")*1)),"")</f>
        <v>0</v>
      </c>
      <c r="E7" s="53">
        <f>IFERROR((SUMPRODUCT((LEFT('KRA A - Anganwadi &amp; ECCE'!$E$5:$E$13,1)="↑")*(('KRA A - Anganwadi &amp; ECCE'!$I$5:$I$13&lt;&gt;"")*1)*IFERROR('KRA A - Anganwadi &amp; ECCE'!$I$5:$I$13/IF('KRA A - Anganwadi &amp; ECCE'!$D$5:$D$13=0,1,'KRA A - Anganwadi &amp; ECCE'!$D$5:$D$13),0))+SUMPRODUCT((LEFT('KRA A - Anganwadi &amp; ECCE'!$E$5:$E$13,1)="↓")*(('KRA A - Anganwadi &amp; ECCE'!$I$5:$I$13&lt;&gt;"")*1)*IFERROR('KRA A - Anganwadi &amp; ECCE'!$D$5:$D$13/IF('KRA A - Anganwadi &amp; ECCE'!$I$5:$I$13=0,0.0001,'KRA A - Anganwadi &amp; ECCE'!$I$5:$I$13),0)))/MAX(1,SUMPRODUCT(('KRA A - Anganwadi &amp; ECCE'!$I$5:$I$13&lt;&gt;"")*1)),"")</f>
        <v>0</v>
      </c>
      <c r="F7" s="53">
        <f>IFERROR((SUMPRODUCT((LEFT('KRA A - Anganwadi &amp; ECCE'!$E$5:$E$13,1)="↑")*(('KRA A - Anganwadi &amp; ECCE'!$J$5:$J$13&lt;&gt;"")*1)*IFERROR('KRA A - Anganwadi &amp; ECCE'!$J$5:$J$13/IF('KRA A - Anganwadi &amp; ECCE'!$D$5:$D$13=0,1,'KRA A - Anganwadi &amp; ECCE'!$D$5:$D$13),0))+SUMPRODUCT((LEFT('KRA A - Anganwadi &amp; ECCE'!$E$5:$E$13,1)="↓")*(('KRA A - Anganwadi &amp; ECCE'!$J$5:$J$13&lt;&gt;"")*1)*IFERROR('KRA A - Anganwadi &amp; ECCE'!$D$5:$D$13/IF('KRA A - Anganwadi &amp; ECCE'!$J$5:$J$13=0,0.0001,'KRA A - Anganwadi &amp; ECCE'!$J$5:$J$13),0)))/MAX(1,SUMPRODUCT(('KRA A - Anganwadi &amp; ECCE'!$J$5:$J$13&lt;&gt;"")*1)),"")</f>
        <v>0</v>
      </c>
      <c r="G7" s="53">
        <f>IFERROR((SUMPRODUCT((LEFT('KRA A - Anganwadi &amp; ECCE'!$E$5:$E$13,1)="↑")*(('KRA A - Anganwadi &amp; ECCE'!$K$5:$K$13&lt;&gt;"")*1)*IFERROR('KRA A - Anganwadi &amp; ECCE'!$K$5:$K$13/IF('KRA A - Anganwadi &amp; ECCE'!$D$5:$D$13=0,1,'KRA A - Anganwadi &amp; ECCE'!$D$5:$D$13),0))+SUMPRODUCT((LEFT('KRA A - Anganwadi &amp; ECCE'!$E$5:$E$13,1)="↓")*(('KRA A - Anganwadi &amp; ECCE'!$K$5:$K$13&lt;&gt;"")*1)*IFERROR('KRA A - Anganwadi &amp; ECCE'!$D$5:$D$13/IF('KRA A - Anganwadi &amp; ECCE'!$K$5:$K$13=0,0.0001,'KRA A - Anganwadi &amp; ECCE'!$K$5:$K$13),0)))/MAX(1,SUMPRODUCT(('KRA A - Anganwadi &amp; ECCE'!$K$5:$K$13&lt;&gt;"")*1)),"")</f>
        <v>0</v>
      </c>
      <c r="H7" s="53">
        <f>IFERROR((SUMPRODUCT((LEFT('KRA A - Anganwadi &amp; ECCE'!$E$5:$E$13,1)="↑")*(('KRA A - Anganwadi &amp; ECCE'!$L$5:$L$13&lt;&gt;"")*1)*IFERROR('KRA A - Anganwadi &amp; ECCE'!$L$5:$L$13/IF('KRA A - Anganwadi &amp; ECCE'!$D$5:$D$13=0,1,'KRA A - Anganwadi &amp; ECCE'!$D$5:$D$13),0))+SUMPRODUCT((LEFT('KRA A - Anganwadi &amp; ECCE'!$E$5:$E$13,1)="↓")*(('KRA A - Anganwadi &amp; ECCE'!$L$5:$L$13&lt;&gt;"")*1)*IFERROR('KRA A - Anganwadi &amp; ECCE'!$D$5:$D$13/IF('KRA A - Anganwadi &amp; ECCE'!$L$5:$L$13=0,0.0001,'KRA A - Anganwadi &amp; ECCE'!$L$5:$L$13),0)))/MAX(1,SUMPRODUCT(('KRA A - Anganwadi &amp; ECCE'!$L$5:$L$13&lt;&gt;"")*1)),"")</f>
        <v>0</v>
      </c>
      <c r="I7" s="53">
        <f>IFERROR((SUMPRODUCT((LEFT('KRA A - Anganwadi &amp; ECCE'!$E$5:$E$13,1)="↑")*(('KRA A - Anganwadi &amp; ECCE'!$M$5:$M$13&lt;&gt;"")*1)*IFERROR('KRA A - Anganwadi &amp; ECCE'!$M$5:$M$13/IF('KRA A - Anganwadi &amp; ECCE'!$D$5:$D$13=0,1,'KRA A - Anganwadi &amp; ECCE'!$D$5:$D$13),0))+SUMPRODUCT((LEFT('KRA A - Anganwadi &amp; ECCE'!$E$5:$E$13,1)="↓")*(('KRA A - Anganwadi &amp; ECCE'!$M$5:$M$13&lt;&gt;"")*1)*IFERROR('KRA A - Anganwadi &amp; ECCE'!$D$5:$D$13/IF('KRA A - Anganwadi &amp; ECCE'!$M$5:$M$13=0,0.0001,'KRA A - Anganwadi &amp; ECCE'!$M$5:$M$13),0)))/MAX(1,SUMPRODUCT(('KRA A - Anganwadi &amp; ECCE'!$M$5:$M$13&lt;&gt;"")*1)),"")</f>
        <v>0</v>
      </c>
      <c r="J7" s="53">
        <f>IFERROR((SUMPRODUCT((LEFT('KRA A - Anganwadi &amp; ECCE'!$E$5:$E$13,1)="↑")*(('KRA A - Anganwadi &amp; ECCE'!$N$5:$N$13&lt;&gt;"")*1)*IFERROR('KRA A - Anganwadi &amp; ECCE'!$N$5:$N$13/IF('KRA A - Anganwadi &amp; ECCE'!$D$5:$D$13=0,1,'KRA A - Anganwadi &amp; ECCE'!$D$5:$D$13),0))+SUMPRODUCT((LEFT('KRA A - Anganwadi &amp; ECCE'!$E$5:$E$13,1)="↓")*(('KRA A - Anganwadi &amp; ECCE'!$N$5:$N$13&lt;&gt;"")*1)*IFERROR('KRA A - Anganwadi &amp; ECCE'!$D$5:$D$13/IF('KRA A - Anganwadi &amp; ECCE'!$N$5:$N$13=0,0.0001,'KRA A - Anganwadi &amp; ECCE'!$N$5:$N$13),0)))/MAX(1,SUMPRODUCT(('KRA A - Anganwadi &amp; ECCE'!$N$5:$N$13&lt;&gt;"")*1)),"")</f>
        <v>0</v>
      </c>
      <c r="K7" s="53">
        <f>IFERROR((SUMPRODUCT((LEFT('KRA A - Anganwadi &amp; ECCE'!$E$5:$E$13,1)="↑")*(('KRA A - Anganwadi &amp; ECCE'!$O$5:$O$13&lt;&gt;"")*1)*IFERROR('KRA A - Anganwadi &amp; ECCE'!$O$5:$O$13/IF('KRA A - Anganwadi &amp; ECCE'!$D$5:$D$13=0,1,'KRA A - Anganwadi &amp; ECCE'!$D$5:$D$13),0))+SUMPRODUCT((LEFT('KRA A - Anganwadi &amp; ECCE'!$E$5:$E$13,1)="↓")*(('KRA A - Anganwadi &amp; ECCE'!$O$5:$O$13&lt;&gt;"")*1)*IFERROR('KRA A - Anganwadi &amp; ECCE'!$D$5:$D$13/IF('KRA A - Anganwadi &amp; ECCE'!$O$5:$O$13=0,0.0001,'KRA A - Anganwadi &amp; ECCE'!$O$5:$O$13),0)))/MAX(1,SUMPRODUCT(('KRA A - Anganwadi &amp; ECCE'!$O$5:$O$13&lt;&gt;"")*1)),"")</f>
        <v>0</v>
      </c>
      <c r="L7" s="53">
        <f>IFERROR((SUMPRODUCT((LEFT('KRA A - Anganwadi &amp; ECCE'!$E$5:$E$13,1)="↑")*(('KRA A - Anganwadi &amp; ECCE'!$P$5:$P$13&lt;&gt;"")*1)*IFERROR('KRA A - Anganwadi &amp; ECCE'!$P$5:$P$13/IF('KRA A - Anganwadi &amp; ECCE'!$D$5:$D$13=0,1,'KRA A - Anganwadi &amp; ECCE'!$D$5:$D$13),0))+SUMPRODUCT((LEFT('KRA A - Anganwadi &amp; ECCE'!$E$5:$E$13,1)="↓")*(('KRA A - Anganwadi &amp; ECCE'!$P$5:$P$13&lt;&gt;"")*1)*IFERROR('KRA A - Anganwadi &amp; ECCE'!$D$5:$D$13/IF('KRA A - Anganwadi &amp; ECCE'!$P$5:$P$13=0,0.0001,'KRA A - Anganwadi &amp; ECCE'!$P$5:$P$13),0)))/MAX(1,SUMPRODUCT(('KRA A - Anganwadi &amp; ECCE'!$P$5:$P$13&lt;&gt;"")*1)),"")</f>
        <v>0</v>
      </c>
      <c r="M7" s="53">
        <f>IFERROR((SUMPRODUCT((LEFT('KRA A - Anganwadi &amp; ECCE'!$E$5:$E$13,1)="↑")*(('KRA A - Anganwadi &amp; ECCE'!$Q$5:$Q$13&lt;&gt;"")*1)*IFERROR('KRA A - Anganwadi &amp; ECCE'!$Q$5:$Q$13/IF('KRA A - Anganwadi &amp; ECCE'!$D$5:$D$13=0,1,'KRA A - Anganwadi &amp; ECCE'!$D$5:$D$13),0))+SUMPRODUCT((LEFT('KRA A - Anganwadi &amp; ECCE'!$E$5:$E$13,1)="↓")*(('KRA A - Anganwadi &amp; ECCE'!$Q$5:$Q$13&lt;&gt;"")*1)*IFERROR('KRA A - Anganwadi &amp; ECCE'!$D$5:$D$13/IF('KRA A - Anganwadi &amp; ECCE'!$Q$5:$Q$13=0,0.0001,'KRA A - Anganwadi &amp; ECCE'!$Q$5:$Q$13),0)))/MAX(1,SUMPRODUCT(('KRA A - Anganwadi &amp; ECCE'!$Q$5:$Q$13&lt;&gt;"")*1)),"")</f>
        <v>0</v>
      </c>
      <c r="N7" s="53">
        <f>IFERROR((SUMPRODUCT((LEFT('KRA A - Anganwadi &amp; ECCE'!$E$5:$E$13,1)="↑")*(('KRA A - Anganwadi &amp; ECCE'!$R$5:$R$13&lt;&gt;"")*1)*IFERROR('KRA A - Anganwadi &amp; ECCE'!$R$5:$R$13/IF('KRA A - Anganwadi &amp; ECCE'!$D$5:$D$13=0,1,'KRA A - Anganwadi &amp; ECCE'!$D$5:$D$13),0))+SUMPRODUCT((LEFT('KRA A - Anganwadi &amp; ECCE'!$E$5:$E$13,1)="↓")*(('KRA A - Anganwadi &amp; ECCE'!$R$5:$R$13&lt;&gt;"")*1)*IFERROR('KRA A - Anganwadi &amp; ECCE'!$D$5:$D$13/IF('KRA A - Anganwadi &amp; ECCE'!$R$5:$R$13=0,0.0001,'KRA A - Anganwadi &amp; ECCE'!$R$5:$R$13),0)))/MAX(1,SUMPRODUCT(('KRA A - Anganwadi &amp; ECCE'!$R$5:$R$13&lt;&gt;"")*1)),"")</f>
        <v>0</v>
      </c>
    </row>
    <row r="8" spans="1:14" ht="25.5" customHeight="1">
      <c r="A8" s="16" t="s">
        <v>84</v>
      </c>
      <c r="B8" s="17" t="s">
        <v>85</v>
      </c>
      <c r="C8" s="53">
        <f>IFERROR((SUMPRODUCT((LEFT('KRA D - Drug Demand-Reduction '!$E$5:$E$12,1)="↑")*(('KRA D - Drug Demand-Reduction '!$G$5:$G$12&lt;&gt;"")*1)*IFERROR('KRA D - Drug Demand-Reduction '!$G$5:$G$12/IF('KRA D - Drug Demand-Reduction '!$D$5:$D$12=0,1,'KRA D - Drug Demand-Reduction '!$D$5:$D$12),0))+SUMPRODUCT((LEFT('KRA D - Drug Demand-Reduction '!$E$5:$E$12,1)="↓")*(('KRA D - Drug Demand-Reduction '!$G$5:$G$12&lt;&gt;"")*1)*IFERROR('KRA D - Drug Demand-Reduction '!$D$5:$D$12/IF('KRA D - Drug Demand-Reduction '!$G$5:$G$12=0,0.0001,'KRA D - Drug Demand-Reduction '!$G$5:$G$12),0)))/MAX(1,SUMPRODUCT(('KRA D - Drug Demand-Reduction '!$G$5:$G$12&lt;&gt;"")*1)),"")</f>
        <v>0</v>
      </c>
      <c r="D8" s="53">
        <f>IFERROR((SUMPRODUCT((LEFT('KRA D - Drug Demand-Reduction '!$E$5:$E$12,1)="↑")*(('KRA D - Drug Demand-Reduction '!$H$5:$H$12&lt;&gt;"")*1)*IFERROR('KRA D - Drug Demand-Reduction '!$H$5:$H$12/IF('KRA D - Drug Demand-Reduction '!$D$5:$D$12=0,1,'KRA D - Drug Demand-Reduction '!$D$5:$D$12),0))+SUMPRODUCT((LEFT('KRA D - Drug Demand-Reduction '!$E$5:$E$12,1)="↓")*(('KRA D - Drug Demand-Reduction '!$H$5:$H$12&lt;&gt;"")*1)*IFERROR('KRA D - Drug Demand-Reduction '!$D$5:$D$12/IF('KRA D - Drug Demand-Reduction '!$H$5:$H$12=0,0.0001,'KRA D - Drug Demand-Reduction '!$H$5:$H$12),0)))/MAX(1,SUMPRODUCT(('KRA D - Drug Demand-Reduction '!$H$5:$H$12&lt;&gt;"")*1)),"")</f>
        <v>0</v>
      </c>
      <c r="E8" s="53">
        <f>IFERROR((SUMPRODUCT((LEFT('KRA D - Drug Demand-Reduction '!$E$5:$E$12,1)="↑")*(('KRA D - Drug Demand-Reduction '!$I$5:$I$12&lt;&gt;"")*1)*IFERROR('KRA D - Drug Demand-Reduction '!$I$5:$I$12/IF('KRA D - Drug Demand-Reduction '!$D$5:$D$12=0,1,'KRA D - Drug Demand-Reduction '!$D$5:$D$12),0))+SUMPRODUCT((LEFT('KRA D - Drug Demand-Reduction '!$E$5:$E$12,1)="↓")*(('KRA D - Drug Demand-Reduction '!$I$5:$I$12&lt;&gt;"")*1)*IFERROR('KRA D - Drug Demand-Reduction '!$D$5:$D$12/IF('KRA D - Drug Demand-Reduction '!$I$5:$I$12=0,0.0001,'KRA D - Drug Demand-Reduction '!$I$5:$I$12),0)))/MAX(1,SUMPRODUCT(('KRA D - Drug Demand-Reduction '!$I$5:$I$12&lt;&gt;"")*1)),"")</f>
        <v>0</v>
      </c>
      <c r="F8" s="53">
        <f>IFERROR((SUMPRODUCT((LEFT('KRA D - Drug Demand-Reduction '!$E$5:$E$12,1)="↑")*(('KRA D - Drug Demand-Reduction '!$J$5:$J$12&lt;&gt;"")*1)*IFERROR('KRA D - Drug Demand-Reduction '!$J$5:$J$12/IF('KRA D - Drug Demand-Reduction '!$D$5:$D$12=0,1,'KRA D - Drug Demand-Reduction '!$D$5:$D$12),0))+SUMPRODUCT((LEFT('KRA D - Drug Demand-Reduction '!$E$5:$E$12,1)="↓")*(('KRA D - Drug Demand-Reduction '!$J$5:$J$12&lt;&gt;"")*1)*IFERROR('KRA D - Drug Demand-Reduction '!$D$5:$D$12/IF('KRA D - Drug Demand-Reduction '!$J$5:$J$12=0,0.0001,'KRA D - Drug Demand-Reduction '!$J$5:$J$12),0)))/MAX(1,SUMPRODUCT(('KRA D - Drug Demand-Reduction '!$J$5:$J$12&lt;&gt;"")*1)),"")</f>
        <v>0</v>
      </c>
      <c r="G8" s="53">
        <f>IFERROR((SUMPRODUCT((LEFT('KRA D - Drug Demand-Reduction '!$E$5:$E$12,1)="↑")*(('KRA D - Drug Demand-Reduction '!$K$5:$K$12&lt;&gt;"")*1)*IFERROR('KRA D - Drug Demand-Reduction '!$K$5:$K$12/IF('KRA D - Drug Demand-Reduction '!$D$5:$D$12=0,1,'KRA D - Drug Demand-Reduction '!$D$5:$D$12),0))+SUMPRODUCT((LEFT('KRA D - Drug Demand-Reduction '!$E$5:$E$12,1)="↓")*(('KRA D - Drug Demand-Reduction '!$K$5:$K$12&lt;&gt;"")*1)*IFERROR('KRA D - Drug Demand-Reduction '!$D$5:$D$12/IF('KRA D - Drug Demand-Reduction '!$K$5:$K$12=0,0.0001,'KRA D - Drug Demand-Reduction '!$K$5:$K$12),0)))/MAX(1,SUMPRODUCT(('KRA D - Drug Demand-Reduction '!$K$5:$K$12&lt;&gt;"")*1)),"")</f>
        <v>0</v>
      </c>
      <c r="H8" s="53">
        <f>IFERROR((SUMPRODUCT((LEFT('KRA D - Drug Demand-Reduction '!$E$5:$E$12,1)="↑")*(('KRA D - Drug Demand-Reduction '!$L$5:$L$12&lt;&gt;"")*1)*IFERROR('KRA D - Drug Demand-Reduction '!$L$5:$L$12/IF('KRA D - Drug Demand-Reduction '!$D$5:$D$12=0,1,'KRA D - Drug Demand-Reduction '!$D$5:$D$12),0))+SUMPRODUCT((LEFT('KRA D - Drug Demand-Reduction '!$E$5:$E$12,1)="↓")*(('KRA D - Drug Demand-Reduction '!$L$5:$L$12&lt;&gt;"")*1)*IFERROR('KRA D - Drug Demand-Reduction '!$D$5:$D$12/IF('KRA D - Drug Demand-Reduction '!$L$5:$L$12=0,0.0001,'KRA D - Drug Demand-Reduction '!$L$5:$L$12),0)))/MAX(1,SUMPRODUCT(('KRA D - Drug Demand-Reduction '!$L$5:$L$12&lt;&gt;"")*1)),"")</f>
        <v>0</v>
      </c>
      <c r="I8" s="53">
        <f>IFERROR((SUMPRODUCT((LEFT('KRA D - Drug Demand-Reduction '!$E$5:$E$12,1)="↑")*(('KRA D - Drug Demand-Reduction '!$M$5:$M$12&lt;&gt;"")*1)*IFERROR('KRA D - Drug Demand-Reduction '!$M$5:$M$12/IF('KRA D - Drug Demand-Reduction '!$D$5:$D$12=0,1,'KRA D - Drug Demand-Reduction '!$D$5:$D$12),0))+SUMPRODUCT((LEFT('KRA D - Drug Demand-Reduction '!$E$5:$E$12,1)="↓")*(('KRA D - Drug Demand-Reduction '!$M$5:$M$12&lt;&gt;"")*1)*IFERROR('KRA D - Drug Demand-Reduction '!$D$5:$D$12/IF('KRA D - Drug Demand-Reduction '!$M$5:$M$12=0,0.0001,'KRA D - Drug Demand-Reduction '!$M$5:$M$12),0)))/MAX(1,SUMPRODUCT(('KRA D - Drug Demand-Reduction '!$M$5:$M$12&lt;&gt;"")*1)),"")</f>
        <v>0</v>
      </c>
      <c r="J8" s="53">
        <f>IFERROR((SUMPRODUCT((LEFT('KRA D - Drug Demand-Reduction '!$E$5:$E$12,1)="↑")*(('KRA D - Drug Demand-Reduction '!$N$5:$N$12&lt;&gt;"")*1)*IFERROR('KRA D - Drug Demand-Reduction '!$N$5:$N$12/IF('KRA D - Drug Demand-Reduction '!$D$5:$D$12=0,1,'KRA D - Drug Demand-Reduction '!$D$5:$D$12),0))+SUMPRODUCT((LEFT('KRA D - Drug Demand-Reduction '!$E$5:$E$12,1)="↓")*(('KRA D - Drug Demand-Reduction '!$N$5:$N$12&lt;&gt;"")*1)*IFERROR('KRA D - Drug Demand-Reduction '!$D$5:$D$12/IF('KRA D - Drug Demand-Reduction '!$N$5:$N$12=0,0.0001,'KRA D - Drug Demand-Reduction '!$N$5:$N$12),0)))/MAX(1,SUMPRODUCT(('KRA D - Drug Demand-Reduction '!$N$5:$N$12&lt;&gt;"")*1)),"")</f>
        <v>0</v>
      </c>
      <c r="K8" s="53">
        <f>IFERROR((SUMPRODUCT((LEFT('KRA D - Drug Demand-Reduction '!$E$5:$E$12,1)="↑")*(('KRA D - Drug Demand-Reduction '!$O$5:$O$12&lt;&gt;"")*1)*IFERROR('KRA D - Drug Demand-Reduction '!$O$5:$O$12/IF('KRA D - Drug Demand-Reduction '!$D$5:$D$12=0,1,'KRA D - Drug Demand-Reduction '!$D$5:$D$12),0))+SUMPRODUCT((LEFT('KRA D - Drug Demand-Reduction '!$E$5:$E$12,1)="↓")*(('KRA D - Drug Demand-Reduction '!$O$5:$O$12&lt;&gt;"")*1)*IFERROR('KRA D - Drug Demand-Reduction '!$D$5:$D$12/IF('KRA D - Drug Demand-Reduction '!$O$5:$O$12=0,0.0001,'KRA D - Drug Demand-Reduction '!$O$5:$O$12),0)))/MAX(1,SUMPRODUCT(('KRA D - Drug Demand-Reduction '!$O$5:$O$12&lt;&gt;"")*1)),"")</f>
        <v>0</v>
      </c>
      <c r="L8" s="53">
        <f>IFERROR((SUMPRODUCT((LEFT('KRA D - Drug Demand-Reduction '!$E$5:$E$12,1)="↑")*(('KRA D - Drug Demand-Reduction '!$P$5:$P$12&lt;&gt;"")*1)*IFERROR('KRA D - Drug Demand-Reduction '!$P$5:$P$12/IF('KRA D - Drug Demand-Reduction '!$D$5:$D$12=0,1,'KRA D - Drug Demand-Reduction '!$D$5:$D$12),0))+SUMPRODUCT((LEFT('KRA D - Drug Demand-Reduction '!$E$5:$E$12,1)="↓")*(('KRA D - Drug Demand-Reduction '!$P$5:$P$12&lt;&gt;"")*1)*IFERROR('KRA D - Drug Demand-Reduction '!$D$5:$D$12/IF('KRA D - Drug Demand-Reduction '!$P$5:$P$12=0,0.0001,'KRA D - Drug Demand-Reduction '!$P$5:$P$12),0)))/MAX(1,SUMPRODUCT(('KRA D - Drug Demand-Reduction '!$P$5:$P$12&lt;&gt;"")*1)),"")</f>
        <v>0</v>
      </c>
      <c r="M8" s="53">
        <f>IFERROR((SUMPRODUCT((LEFT('KRA D - Drug Demand-Reduction '!$E$5:$E$12,1)="↑")*(('KRA D - Drug Demand-Reduction '!$Q$5:$Q$12&lt;&gt;"")*1)*IFERROR('KRA D - Drug Demand-Reduction '!$Q$5:$Q$12/IF('KRA D - Drug Demand-Reduction '!$D$5:$D$12=0,1,'KRA D - Drug Demand-Reduction '!$D$5:$D$12),0))+SUMPRODUCT((LEFT('KRA D - Drug Demand-Reduction '!$E$5:$E$12,1)="↓")*(('KRA D - Drug Demand-Reduction '!$Q$5:$Q$12&lt;&gt;"")*1)*IFERROR('KRA D - Drug Demand-Reduction '!$D$5:$D$12/IF('KRA D - Drug Demand-Reduction '!$Q$5:$Q$12=0,0.0001,'KRA D - Drug Demand-Reduction '!$Q$5:$Q$12),0)))/MAX(1,SUMPRODUCT(('KRA D - Drug Demand-Reduction '!$Q$5:$Q$12&lt;&gt;"")*1)),"")</f>
        <v>0</v>
      </c>
      <c r="N8" s="53">
        <f>IFERROR((SUMPRODUCT((LEFT('KRA D - Drug Demand-Reduction '!$E$5:$E$12,1)="↑")*(('KRA D - Drug Demand-Reduction '!$R$5:$R$12&lt;&gt;"")*1)*IFERROR('KRA D - Drug Demand-Reduction '!$R$5:$R$12/IF('KRA D - Drug Demand-Reduction '!$D$5:$D$12=0,1,'KRA D - Drug Demand-Reduction '!$D$5:$D$12),0))+SUMPRODUCT((LEFT('KRA D - Drug Demand-Reduction '!$E$5:$E$12,1)="↓")*(('KRA D - Drug Demand-Reduction '!$R$5:$R$12&lt;&gt;"")*1)*IFERROR('KRA D - Drug Demand-Reduction '!$D$5:$D$12/IF('KRA D - Drug Demand-Reduction '!$R$5:$R$12=0,0.0001,'KRA D - Drug Demand-Reduction '!$R$5:$R$12),0)))/MAX(1,SUMPRODUCT(('KRA D - Drug Demand-Reduction '!$R$5:$R$12&lt;&gt;"")*1)),"")</f>
        <v>0</v>
      </c>
    </row>
    <row r="9" spans="1:14" ht="25.5" customHeight="1">
      <c r="A9" s="16" t="s">
        <v>86</v>
      </c>
      <c r="B9" s="17" t="s">
        <v>87</v>
      </c>
      <c r="C9" s="53">
        <f>IFERROR((SUMPRODUCT((LEFT('KRA S - Sanitation, Cleanlines'!$E$5:$E$10,1)="↑")*(('KRA S - Sanitation, Cleanlines'!$G$5:$G$10&lt;&gt;"")*1)*IFERROR('KRA S - Sanitation, Cleanlines'!$G$5:$G$10/IF('KRA S - Sanitation, Cleanlines'!$D$5:$D$10=0,1,'KRA S - Sanitation, Cleanlines'!$D$5:$D$10),0))+SUMPRODUCT((LEFT('KRA S - Sanitation, Cleanlines'!$E$5:$E$10,1)="↓")*(('KRA S - Sanitation, Cleanlines'!$G$5:$G$10&lt;&gt;"")*1)*IFERROR('KRA S - Sanitation, Cleanlines'!$D$5:$D$10/IF('KRA S - Sanitation, Cleanlines'!$G$5:$G$10=0,0.0001,'KRA S - Sanitation, Cleanlines'!$G$5:$G$10),0)))/MAX(1,SUMPRODUCT(('KRA S - Sanitation, Cleanlines'!$G$5:$G$10&lt;&gt;"")*1)),"")</f>
        <v>0</v>
      </c>
      <c r="D9" s="53">
        <f>IFERROR((SUMPRODUCT((LEFT('KRA S - Sanitation, Cleanlines'!$E$5:$E$10,1)="↑")*(('KRA S - Sanitation, Cleanlines'!$H$5:$H$10&lt;&gt;"")*1)*IFERROR('KRA S - Sanitation, Cleanlines'!$H$5:$H$10/IF('KRA S - Sanitation, Cleanlines'!$D$5:$D$10=0,1,'KRA S - Sanitation, Cleanlines'!$D$5:$D$10),0))+SUMPRODUCT((LEFT('KRA S - Sanitation, Cleanlines'!$E$5:$E$10,1)="↓")*(('KRA S - Sanitation, Cleanlines'!$H$5:$H$10&lt;&gt;"")*1)*IFERROR('KRA S - Sanitation, Cleanlines'!$D$5:$D$10/IF('KRA S - Sanitation, Cleanlines'!$H$5:$H$10=0,0.0001,'KRA S - Sanitation, Cleanlines'!$H$5:$H$10),0)))/MAX(1,SUMPRODUCT(('KRA S - Sanitation, Cleanlines'!$H$5:$H$10&lt;&gt;"")*1)),"")</f>
        <v>0</v>
      </c>
      <c r="E9" s="53">
        <f>IFERROR((SUMPRODUCT((LEFT('KRA S - Sanitation, Cleanlines'!$E$5:$E$10,1)="↑")*(('KRA S - Sanitation, Cleanlines'!$I$5:$I$10&lt;&gt;"")*1)*IFERROR('KRA S - Sanitation, Cleanlines'!$I$5:$I$10/IF('KRA S - Sanitation, Cleanlines'!$D$5:$D$10=0,1,'KRA S - Sanitation, Cleanlines'!$D$5:$D$10),0))+SUMPRODUCT((LEFT('KRA S - Sanitation, Cleanlines'!$E$5:$E$10,1)="↓")*(('KRA S - Sanitation, Cleanlines'!$I$5:$I$10&lt;&gt;"")*1)*IFERROR('KRA S - Sanitation, Cleanlines'!$D$5:$D$10/IF('KRA S - Sanitation, Cleanlines'!$I$5:$I$10=0,0.0001,'KRA S - Sanitation, Cleanlines'!$I$5:$I$10),0)))/MAX(1,SUMPRODUCT(('KRA S - Sanitation, Cleanlines'!$I$5:$I$10&lt;&gt;"")*1)),"")</f>
        <v>0</v>
      </c>
      <c r="F9" s="53">
        <f>IFERROR((SUMPRODUCT((LEFT('KRA S - Sanitation, Cleanlines'!$E$5:$E$10,1)="↑")*(('KRA S - Sanitation, Cleanlines'!$J$5:$J$10&lt;&gt;"")*1)*IFERROR('KRA S - Sanitation, Cleanlines'!$J$5:$J$10/IF('KRA S - Sanitation, Cleanlines'!$D$5:$D$10=0,1,'KRA S - Sanitation, Cleanlines'!$D$5:$D$10),0))+SUMPRODUCT((LEFT('KRA S - Sanitation, Cleanlines'!$E$5:$E$10,1)="↓")*(('KRA S - Sanitation, Cleanlines'!$J$5:$J$10&lt;&gt;"")*1)*IFERROR('KRA S - Sanitation, Cleanlines'!$D$5:$D$10/IF('KRA S - Sanitation, Cleanlines'!$J$5:$J$10=0,0.0001,'KRA S - Sanitation, Cleanlines'!$J$5:$J$10),0)))/MAX(1,SUMPRODUCT(('KRA S - Sanitation, Cleanlines'!$J$5:$J$10&lt;&gt;"")*1)),"")</f>
        <v>0</v>
      </c>
      <c r="G9" s="53">
        <f>IFERROR((SUMPRODUCT((LEFT('KRA S - Sanitation, Cleanlines'!$E$5:$E$10,1)="↑")*(('KRA S - Sanitation, Cleanlines'!$K$5:$K$10&lt;&gt;"")*1)*IFERROR('KRA S - Sanitation, Cleanlines'!$K$5:$K$10/IF('KRA S - Sanitation, Cleanlines'!$D$5:$D$10=0,1,'KRA S - Sanitation, Cleanlines'!$D$5:$D$10),0))+SUMPRODUCT((LEFT('KRA S - Sanitation, Cleanlines'!$E$5:$E$10,1)="↓")*(('KRA S - Sanitation, Cleanlines'!$K$5:$K$10&lt;&gt;"")*1)*IFERROR('KRA S - Sanitation, Cleanlines'!$D$5:$D$10/IF('KRA S - Sanitation, Cleanlines'!$K$5:$K$10=0,0.0001,'KRA S - Sanitation, Cleanlines'!$K$5:$K$10),0)))/MAX(1,SUMPRODUCT(('KRA S - Sanitation, Cleanlines'!$K$5:$K$10&lt;&gt;"")*1)),"")</f>
        <v>0</v>
      </c>
      <c r="H9" s="53">
        <f>IFERROR((SUMPRODUCT((LEFT('KRA S - Sanitation, Cleanlines'!$E$5:$E$10,1)="↑")*(('KRA S - Sanitation, Cleanlines'!$L$5:$L$10&lt;&gt;"")*1)*IFERROR('KRA S - Sanitation, Cleanlines'!$L$5:$L$10/IF('KRA S - Sanitation, Cleanlines'!$D$5:$D$10=0,1,'KRA S - Sanitation, Cleanlines'!$D$5:$D$10),0))+SUMPRODUCT((LEFT('KRA S - Sanitation, Cleanlines'!$E$5:$E$10,1)="↓")*(('KRA S - Sanitation, Cleanlines'!$L$5:$L$10&lt;&gt;"")*1)*IFERROR('KRA S - Sanitation, Cleanlines'!$D$5:$D$10/IF('KRA S - Sanitation, Cleanlines'!$L$5:$L$10=0,0.0001,'KRA S - Sanitation, Cleanlines'!$L$5:$L$10),0)))/MAX(1,SUMPRODUCT(('KRA S - Sanitation, Cleanlines'!$L$5:$L$10&lt;&gt;"")*1)),"")</f>
        <v>0</v>
      </c>
      <c r="I9" s="53">
        <f>IFERROR((SUMPRODUCT((LEFT('KRA S - Sanitation, Cleanlines'!$E$5:$E$10,1)="↑")*(('KRA S - Sanitation, Cleanlines'!$M$5:$M$10&lt;&gt;"")*1)*IFERROR('KRA S - Sanitation, Cleanlines'!$M$5:$M$10/IF('KRA S - Sanitation, Cleanlines'!$D$5:$D$10=0,1,'KRA S - Sanitation, Cleanlines'!$D$5:$D$10),0))+SUMPRODUCT((LEFT('KRA S - Sanitation, Cleanlines'!$E$5:$E$10,1)="↓")*(('KRA S - Sanitation, Cleanlines'!$M$5:$M$10&lt;&gt;"")*1)*IFERROR('KRA S - Sanitation, Cleanlines'!$D$5:$D$10/IF('KRA S - Sanitation, Cleanlines'!$M$5:$M$10=0,0.0001,'KRA S - Sanitation, Cleanlines'!$M$5:$M$10),0)))/MAX(1,SUMPRODUCT(('KRA S - Sanitation, Cleanlines'!$M$5:$M$10&lt;&gt;"")*1)),"")</f>
        <v>0</v>
      </c>
      <c r="J9" s="53">
        <f>IFERROR((SUMPRODUCT((LEFT('KRA S - Sanitation, Cleanlines'!$E$5:$E$10,1)="↑")*(('KRA S - Sanitation, Cleanlines'!$N$5:$N$10&lt;&gt;"")*1)*IFERROR('KRA S - Sanitation, Cleanlines'!$N$5:$N$10/IF('KRA S - Sanitation, Cleanlines'!$D$5:$D$10=0,1,'KRA S - Sanitation, Cleanlines'!$D$5:$D$10),0))+SUMPRODUCT((LEFT('KRA S - Sanitation, Cleanlines'!$E$5:$E$10,1)="↓")*(('KRA S - Sanitation, Cleanlines'!$N$5:$N$10&lt;&gt;"")*1)*IFERROR('KRA S - Sanitation, Cleanlines'!$D$5:$D$10/IF('KRA S - Sanitation, Cleanlines'!$N$5:$N$10=0,0.0001,'KRA S - Sanitation, Cleanlines'!$N$5:$N$10),0)))/MAX(1,SUMPRODUCT(('KRA S - Sanitation, Cleanlines'!$N$5:$N$10&lt;&gt;"")*1)),"")</f>
        <v>0</v>
      </c>
      <c r="K9" s="53">
        <f>IFERROR((SUMPRODUCT((LEFT('KRA S - Sanitation, Cleanlines'!$E$5:$E$10,1)="↑")*(('KRA S - Sanitation, Cleanlines'!$O$5:$O$10&lt;&gt;"")*1)*IFERROR('KRA S - Sanitation, Cleanlines'!$O$5:$O$10/IF('KRA S - Sanitation, Cleanlines'!$D$5:$D$10=0,1,'KRA S - Sanitation, Cleanlines'!$D$5:$D$10),0))+SUMPRODUCT((LEFT('KRA S - Sanitation, Cleanlines'!$E$5:$E$10,1)="↓")*(('KRA S - Sanitation, Cleanlines'!$O$5:$O$10&lt;&gt;"")*1)*IFERROR('KRA S - Sanitation, Cleanlines'!$D$5:$D$10/IF('KRA S - Sanitation, Cleanlines'!$O$5:$O$10=0,0.0001,'KRA S - Sanitation, Cleanlines'!$O$5:$O$10),0)))/MAX(1,SUMPRODUCT(('KRA S - Sanitation, Cleanlines'!$O$5:$O$10&lt;&gt;"")*1)),"")</f>
        <v>0</v>
      </c>
      <c r="L9" s="53">
        <f>IFERROR((SUMPRODUCT((LEFT('KRA S - Sanitation, Cleanlines'!$E$5:$E$10,1)="↑")*(('KRA S - Sanitation, Cleanlines'!$P$5:$P$10&lt;&gt;"")*1)*IFERROR('KRA S - Sanitation, Cleanlines'!$P$5:$P$10/IF('KRA S - Sanitation, Cleanlines'!$D$5:$D$10=0,1,'KRA S - Sanitation, Cleanlines'!$D$5:$D$10),0))+SUMPRODUCT((LEFT('KRA S - Sanitation, Cleanlines'!$E$5:$E$10,1)="↓")*(('KRA S - Sanitation, Cleanlines'!$P$5:$P$10&lt;&gt;"")*1)*IFERROR('KRA S - Sanitation, Cleanlines'!$D$5:$D$10/IF('KRA S - Sanitation, Cleanlines'!$P$5:$P$10=0,0.0001,'KRA S - Sanitation, Cleanlines'!$P$5:$P$10),0)))/MAX(1,SUMPRODUCT(('KRA S - Sanitation, Cleanlines'!$P$5:$P$10&lt;&gt;"")*1)),"")</f>
        <v>0</v>
      </c>
      <c r="M9" s="53">
        <f>IFERROR((SUMPRODUCT((LEFT('KRA S - Sanitation, Cleanlines'!$E$5:$E$10,1)="↑")*(('KRA S - Sanitation, Cleanlines'!$Q$5:$Q$10&lt;&gt;"")*1)*IFERROR('KRA S - Sanitation, Cleanlines'!$Q$5:$Q$10/IF('KRA S - Sanitation, Cleanlines'!$D$5:$D$10=0,1,'KRA S - Sanitation, Cleanlines'!$D$5:$D$10),0))+SUMPRODUCT((LEFT('KRA S - Sanitation, Cleanlines'!$E$5:$E$10,1)="↓")*(('KRA S - Sanitation, Cleanlines'!$Q$5:$Q$10&lt;&gt;"")*1)*IFERROR('KRA S - Sanitation, Cleanlines'!$D$5:$D$10/IF('KRA S - Sanitation, Cleanlines'!$Q$5:$Q$10=0,0.0001,'KRA S - Sanitation, Cleanlines'!$Q$5:$Q$10),0)))/MAX(1,SUMPRODUCT(('KRA S - Sanitation, Cleanlines'!$Q$5:$Q$10&lt;&gt;"")*1)),"")</f>
        <v>0</v>
      </c>
      <c r="N9" s="53">
        <f>IFERROR((SUMPRODUCT((LEFT('KRA S - Sanitation, Cleanlines'!$E$5:$E$10,1)="↑")*(('KRA S - Sanitation, Cleanlines'!$R$5:$R$10&lt;&gt;"")*1)*IFERROR('KRA S - Sanitation, Cleanlines'!$R$5:$R$10/IF('KRA S - Sanitation, Cleanlines'!$D$5:$D$10=0,1,'KRA S - Sanitation, Cleanlines'!$D$5:$D$10),0))+SUMPRODUCT((LEFT('KRA S - Sanitation, Cleanlines'!$E$5:$E$10,1)="↓")*(('KRA S - Sanitation, Cleanlines'!$R$5:$R$10&lt;&gt;"")*1)*IFERROR('KRA S - Sanitation, Cleanlines'!$D$5:$D$10/IF('KRA S - Sanitation, Cleanlines'!$R$5:$R$10=0,0.0001,'KRA S - Sanitation, Cleanlines'!$R$5:$R$10),0)))/MAX(1,SUMPRODUCT(('KRA S - Sanitation, Cleanlines'!$R$5:$R$10&lt;&gt;"")*1)),"")</f>
        <v>0</v>
      </c>
    </row>
    <row r="10" spans="1:14" ht="25.5" customHeight="1">
      <c r="A10" s="16" t="s">
        <v>88</v>
      </c>
      <c r="B10" s="17" t="s">
        <v>89</v>
      </c>
      <c r="C10" s="53">
        <f>IFERROR((SUMPRODUCT((LEFT('KRA I - Infrastructure, Roads '!$E$5:$E$12,1)="↑")*(('KRA I - Infrastructure, Roads '!$G$5:$G$12&lt;&gt;"")*1)*IFERROR('KRA I - Infrastructure, Roads '!$G$5:$G$12/IF('KRA I - Infrastructure, Roads '!$D$5:$D$12=0,1,'KRA I - Infrastructure, Roads '!$D$5:$D$12),0))+SUMPRODUCT((LEFT('KRA I - Infrastructure, Roads '!$E$5:$E$12,1)="↓")*(('KRA I - Infrastructure, Roads '!$G$5:$G$12&lt;&gt;"")*1)*IFERROR('KRA I - Infrastructure, Roads '!$D$5:$D$12/IF('KRA I - Infrastructure, Roads '!$G$5:$G$12=0,0.0001,'KRA I - Infrastructure, Roads '!$G$5:$G$12),0)))/MAX(1,SUMPRODUCT(('KRA I - Infrastructure, Roads '!$G$5:$G$12&lt;&gt;"")*1)),"")</f>
        <v>0</v>
      </c>
      <c r="D10" s="53">
        <f>IFERROR((SUMPRODUCT((LEFT('KRA I - Infrastructure, Roads '!$E$5:$E$12,1)="↑")*(('KRA I - Infrastructure, Roads '!$H$5:$H$12&lt;&gt;"")*1)*IFERROR('KRA I - Infrastructure, Roads '!$H$5:$H$12/IF('KRA I - Infrastructure, Roads '!$D$5:$D$12=0,1,'KRA I - Infrastructure, Roads '!$D$5:$D$12),0))+SUMPRODUCT((LEFT('KRA I - Infrastructure, Roads '!$E$5:$E$12,1)="↓")*(('KRA I - Infrastructure, Roads '!$H$5:$H$12&lt;&gt;"")*1)*IFERROR('KRA I - Infrastructure, Roads '!$D$5:$D$12/IF('KRA I - Infrastructure, Roads '!$H$5:$H$12=0,0.0001,'KRA I - Infrastructure, Roads '!$H$5:$H$12),0)))/MAX(1,SUMPRODUCT(('KRA I - Infrastructure, Roads '!$H$5:$H$12&lt;&gt;"")*1)),"")</f>
        <v>0</v>
      </c>
      <c r="E10" s="53">
        <f>IFERROR((SUMPRODUCT((LEFT('KRA I - Infrastructure, Roads '!$E$5:$E$12,1)="↑")*(('KRA I - Infrastructure, Roads '!$I$5:$I$12&lt;&gt;"")*1)*IFERROR('KRA I - Infrastructure, Roads '!$I$5:$I$12/IF('KRA I - Infrastructure, Roads '!$D$5:$D$12=0,1,'KRA I - Infrastructure, Roads '!$D$5:$D$12),0))+SUMPRODUCT((LEFT('KRA I - Infrastructure, Roads '!$E$5:$E$12,1)="↓")*(('KRA I - Infrastructure, Roads '!$I$5:$I$12&lt;&gt;"")*1)*IFERROR('KRA I - Infrastructure, Roads '!$D$5:$D$12/IF('KRA I - Infrastructure, Roads '!$I$5:$I$12=0,0.0001,'KRA I - Infrastructure, Roads '!$I$5:$I$12),0)))/MAX(1,SUMPRODUCT(('KRA I - Infrastructure, Roads '!$I$5:$I$12&lt;&gt;"")*1)),"")</f>
        <v>0</v>
      </c>
      <c r="F10" s="53">
        <f>IFERROR((SUMPRODUCT((LEFT('KRA I - Infrastructure, Roads '!$E$5:$E$12,1)="↑")*(('KRA I - Infrastructure, Roads '!$J$5:$J$12&lt;&gt;"")*1)*IFERROR('KRA I - Infrastructure, Roads '!$J$5:$J$12/IF('KRA I - Infrastructure, Roads '!$D$5:$D$12=0,1,'KRA I - Infrastructure, Roads '!$D$5:$D$12),0))+SUMPRODUCT((LEFT('KRA I - Infrastructure, Roads '!$E$5:$E$12,1)="↓")*(('KRA I - Infrastructure, Roads '!$J$5:$J$12&lt;&gt;"")*1)*IFERROR('KRA I - Infrastructure, Roads '!$D$5:$D$12/IF('KRA I - Infrastructure, Roads '!$J$5:$J$12=0,0.0001,'KRA I - Infrastructure, Roads '!$J$5:$J$12),0)))/MAX(1,SUMPRODUCT(('KRA I - Infrastructure, Roads '!$J$5:$J$12&lt;&gt;"")*1)),"")</f>
        <v>0</v>
      </c>
      <c r="G10" s="53">
        <f>IFERROR((SUMPRODUCT((LEFT('KRA I - Infrastructure, Roads '!$E$5:$E$12,1)="↑")*(('KRA I - Infrastructure, Roads '!$K$5:$K$12&lt;&gt;"")*1)*IFERROR('KRA I - Infrastructure, Roads '!$K$5:$K$12/IF('KRA I - Infrastructure, Roads '!$D$5:$D$12=0,1,'KRA I - Infrastructure, Roads '!$D$5:$D$12),0))+SUMPRODUCT((LEFT('KRA I - Infrastructure, Roads '!$E$5:$E$12,1)="↓")*(('KRA I - Infrastructure, Roads '!$K$5:$K$12&lt;&gt;"")*1)*IFERROR('KRA I - Infrastructure, Roads '!$D$5:$D$12/IF('KRA I - Infrastructure, Roads '!$K$5:$K$12=0,0.0001,'KRA I - Infrastructure, Roads '!$K$5:$K$12),0)))/MAX(1,SUMPRODUCT(('KRA I - Infrastructure, Roads '!$K$5:$K$12&lt;&gt;"")*1)),"")</f>
        <v>0</v>
      </c>
      <c r="H10" s="53">
        <f>IFERROR((SUMPRODUCT((LEFT('KRA I - Infrastructure, Roads '!$E$5:$E$12,1)="↑")*(('KRA I - Infrastructure, Roads '!$L$5:$L$12&lt;&gt;"")*1)*IFERROR('KRA I - Infrastructure, Roads '!$L$5:$L$12/IF('KRA I - Infrastructure, Roads '!$D$5:$D$12=0,1,'KRA I - Infrastructure, Roads '!$D$5:$D$12),0))+SUMPRODUCT((LEFT('KRA I - Infrastructure, Roads '!$E$5:$E$12,1)="↓")*(('KRA I - Infrastructure, Roads '!$L$5:$L$12&lt;&gt;"")*1)*IFERROR('KRA I - Infrastructure, Roads '!$D$5:$D$12/IF('KRA I - Infrastructure, Roads '!$L$5:$L$12=0,0.0001,'KRA I - Infrastructure, Roads '!$L$5:$L$12),0)))/MAX(1,SUMPRODUCT(('KRA I - Infrastructure, Roads '!$L$5:$L$12&lt;&gt;"")*1)),"")</f>
        <v>0</v>
      </c>
      <c r="I10" s="53">
        <f>IFERROR((SUMPRODUCT((LEFT('KRA I - Infrastructure, Roads '!$E$5:$E$12,1)="↑")*(('KRA I - Infrastructure, Roads '!$M$5:$M$12&lt;&gt;"")*1)*IFERROR('KRA I - Infrastructure, Roads '!$M$5:$M$12/IF('KRA I - Infrastructure, Roads '!$D$5:$D$12=0,1,'KRA I - Infrastructure, Roads '!$D$5:$D$12),0))+SUMPRODUCT((LEFT('KRA I - Infrastructure, Roads '!$E$5:$E$12,1)="↓")*(('KRA I - Infrastructure, Roads '!$M$5:$M$12&lt;&gt;"")*1)*IFERROR('KRA I - Infrastructure, Roads '!$D$5:$D$12/IF('KRA I - Infrastructure, Roads '!$M$5:$M$12=0,0.0001,'KRA I - Infrastructure, Roads '!$M$5:$M$12),0)))/MAX(1,SUMPRODUCT(('KRA I - Infrastructure, Roads '!$M$5:$M$12&lt;&gt;"")*1)),"")</f>
        <v>0</v>
      </c>
      <c r="J10" s="53">
        <f>IFERROR((SUMPRODUCT((LEFT('KRA I - Infrastructure, Roads '!$E$5:$E$12,1)="↑")*(('KRA I - Infrastructure, Roads '!$N$5:$N$12&lt;&gt;"")*1)*IFERROR('KRA I - Infrastructure, Roads '!$N$5:$N$12/IF('KRA I - Infrastructure, Roads '!$D$5:$D$12=0,1,'KRA I - Infrastructure, Roads '!$D$5:$D$12),0))+SUMPRODUCT((LEFT('KRA I - Infrastructure, Roads '!$E$5:$E$12,1)="↓")*(('KRA I - Infrastructure, Roads '!$N$5:$N$12&lt;&gt;"")*1)*IFERROR('KRA I - Infrastructure, Roads '!$D$5:$D$12/IF('KRA I - Infrastructure, Roads '!$N$5:$N$12=0,0.0001,'KRA I - Infrastructure, Roads '!$N$5:$N$12),0)))/MAX(1,SUMPRODUCT(('KRA I - Infrastructure, Roads '!$N$5:$N$12&lt;&gt;"")*1)),"")</f>
        <v>0</v>
      </c>
      <c r="K10" s="53">
        <f>IFERROR((SUMPRODUCT((LEFT('KRA I - Infrastructure, Roads '!$E$5:$E$12,1)="↑")*(('KRA I - Infrastructure, Roads '!$O$5:$O$12&lt;&gt;"")*1)*IFERROR('KRA I - Infrastructure, Roads '!$O$5:$O$12/IF('KRA I - Infrastructure, Roads '!$D$5:$D$12=0,1,'KRA I - Infrastructure, Roads '!$D$5:$D$12),0))+SUMPRODUCT((LEFT('KRA I - Infrastructure, Roads '!$E$5:$E$12,1)="↓")*(('KRA I - Infrastructure, Roads '!$O$5:$O$12&lt;&gt;"")*1)*IFERROR('KRA I - Infrastructure, Roads '!$D$5:$D$12/IF('KRA I - Infrastructure, Roads '!$O$5:$O$12=0,0.0001,'KRA I - Infrastructure, Roads '!$O$5:$O$12),0)))/MAX(1,SUMPRODUCT(('KRA I - Infrastructure, Roads '!$O$5:$O$12&lt;&gt;"")*1)),"")</f>
        <v>0</v>
      </c>
      <c r="L10" s="53">
        <f>IFERROR((SUMPRODUCT((LEFT('KRA I - Infrastructure, Roads '!$E$5:$E$12,1)="↑")*(('KRA I - Infrastructure, Roads '!$P$5:$P$12&lt;&gt;"")*1)*IFERROR('KRA I - Infrastructure, Roads '!$P$5:$P$12/IF('KRA I - Infrastructure, Roads '!$D$5:$D$12=0,1,'KRA I - Infrastructure, Roads '!$D$5:$D$12),0))+SUMPRODUCT((LEFT('KRA I - Infrastructure, Roads '!$E$5:$E$12,1)="↓")*(('KRA I - Infrastructure, Roads '!$P$5:$P$12&lt;&gt;"")*1)*IFERROR('KRA I - Infrastructure, Roads '!$D$5:$D$12/IF('KRA I - Infrastructure, Roads '!$P$5:$P$12=0,0.0001,'KRA I - Infrastructure, Roads '!$P$5:$P$12),0)))/MAX(1,SUMPRODUCT(('KRA I - Infrastructure, Roads '!$P$5:$P$12&lt;&gt;"")*1)),"")</f>
        <v>0</v>
      </c>
      <c r="M10" s="53">
        <f>IFERROR((SUMPRODUCT((LEFT('KRA I - Infrastructure, Roads '!$E$5:$E$12,1)="↑")*(('KRA I - Infrastructure, Roads '!$Q$5:$Q$12&lt;&gt;"")*1)*IFERROR('KRA I - Infrastructure, Roads '!$Q$5:$Q$12/IF('KRA I - Infrastructure, Roads '!$D$5:$D$12=0,1,'KRA I - Infrastructure, Roads '!$D$5:$D$12),0))+SUMPRODUCT((LEFT('KRA I - Infrastructure, Roads '!$E$5:$E$12,1)="↓")*(('KRA I - Infrastructure, Roads '!$Q$5:$Q$12&lt;&gt;"")*1)*IFERROR('KRA I - Infrastructure, Roads '!$D$5:$D$12/IF('KRA I - Infrastructure, Roads '!$Q$5:$Q$12=0,0.0001,'KRA I - Infrastructure, Roads '!$Q$5:$Q$12),0)))/MAX(1,SUMPRODUCT(('KRA I - Infrastructure, Roads '!$Q$5:$Q$12&lt;&gt;"")*1)),"")</f>
        <v>0</v>
      </c>
      <c r="N10" s="53">
        <f>IFERROR((SUMPRODUCT((LEFT('KRA I - Infrastructure, Roads '!$E$5:$E$12,1)="↑")*(('KRA I - Infrastructure, Roads '!$R$5:$R$12&lt;&gt;"")*1)*IFERROR('KRA I - Infrastructure, Roads '!$R$5:$R$12/IF('KRA I - Infrastructure, Roads '!$D$5:$D$12=0,1,'KRA I - Infrastructure, Roads '!$D$5:$D$12),0))+SUMPRODUCT((LEFT('KRA I - Infrastructure, Roads '!$E$5:$E$12,1)="↓")*(('KRA I - Infrastructure, Roads '!$R$5:$R$12&lt;&gt;"")*1)*IFERROR('KRA I - Infrastructure, Roads '!$D$5:$D$12/IF('KRA I - Infrastructure, Roads '!$R$5:$R$12=0,0.0001,'KRA I - Infrastructure, Roads '!$R$5:$R$12),0)))/MAX(1,SUMPRODUCT(('KRA I - Infrastructure, Roads '!$R$5:$R$12&lt;&gt;"")*1)),"")</f>
        <v>0</v>
      </c>
    </row>
    <row r="11" spans="1:14" ht="25.5" customHeight="1">
      <c r="A11" s="16" t="s">
        <v>90</v>
      </c>
      <c r="B11" s="17" t="s">
        <v>91</v>
      </c>
      <c r="C11" s="53">
        <f>IFERROR((SUMPRODUCT((LEFT('KRA W - Power'!$E$5:$E$14,1)="↑")*(('KRA W - Power'!$G$5:$G$14&lt;&gt;"")*1)*IFERROR('KRA W - Power'!$G$5:$G$14/IF('KRA W - Power'!$D$5:$D$14=0,1,'KRA W - Power'!$D$5:$D$14),0))+SUMPRODUCT((LEFT('KRA W - Power'!$E$5:$E$14,1)="↓")*(('KRA W - Power'!$G$5:$G$14&lt;&gt;"")*1)*IFERROR('KRA W - Power'!$D$5:$D$14/IF('KRA W - Power'!$G$5:$G$14=0,0.0001,'KRA W - Power'!$G$5:$G$14),0)))/MAX(1,SUMPRODUCT(('KRA W - Power'!$G$5:$G$14&lt;&gt;"")*1)),"")</f>
        <v>0</v>
      </c>
      <c r="D11" s="53">
        <f>IFERROR((SUMPRODUCT((LEFT('KRA W - Power'!$E$5:$E$14,1)="↑")*(('KRA W - Power'!$H$5:$H$14&lt;&gt;"")*1)*IFERROR('KRA W - Power'!$H$5:$H$14/IF('KRA W - Power'!$D$5:$D$14=0,1,'KRA W - Power'!$D$5:$D$14),0))+SUMPRODUCT((LEFT('KRA W - Power'!$E$5:$E$14,1)="↓")*(('KRA W - Power'!$H$5:$H$14&lt;&gt;"")*1)*IFERROR('KRA W - Power'!$D$5:$D$14/IF('KRA W - Power'!$H$5:$H$14=0,0.0001,'KRA W - Power'!$H$5:$H$14),0)))/MAX(1,SUMPRODUCT(('KRA W - Power'!$H$5:$H$14&lt;&gt;"")*1)),"")</f>
        <v>0</v>
      </c>
      <c r="E11" s="53">
        <f>IFERROR((SUMPRODUCT((LEFT('KRA W - Power'!$E$5:$E$14,1)="↑")*(('KRA W - Power'!$I$5:$I$14&lt;&gt;"")*1)*IFERROR('KRA W - Power'!$I$5:$I$14/IF('KRA W - Power'!$D$5:$D$14=0,1,'KRA W - Power'!$D$5:$D$14),0))+SUMPRODUCT((LEFT('KRA W - Power'!$E$5:$E$14,1)="↓")*(('KRA W - Power'!$I$5:$I$14&lt;&gt;"")*1)*IFERROR('KRA W - Power'!$D$5:$D$14/IF('KRA W - Power'!$I$5:$I$14=0,0.0001,'KRA W - Power'!$I$5:$I$14),0)))/MAX(1,SUMPRODUCT(('KRA W - Power'!$I$5:$I$14&lt;&gt;"")*1)),"")</f>
        <v>0</v>
      </c>
      <c r="F11" s="53">
        <f>IFERROR((SUMPRODUCT((LEFT('KRA W - Power'!$E$5:$E$14,1)="↑")*(('KRA W - Power'!$J$5:$J$14&lt;&gt;"")*1)*IFERROR('KRA W - Power'!$J$5:$J$14/IF('KRA W - Power'!$D$5:$D$14=0,1,'KRA W - Power'!$D$5:$D$14),0))+SUMPRODUCT((LEFT('KRA W - Power'!$E$5:$E$14,1)="↓")*(('KRA W - Power'!$J$5:$J$14&lt;&gt;"")*1)*IFERROR('KRA W - Power'!$D$5:$D$14/IF('KRA W - Power'!$J$5:$J$14=0,0.0001,'KRA W - Power'!$J$5:$J$14),0)))/MAX(1,SUMPRODUCT(('KRA W - Power'!$J$5:$J$14&lt;&gt;"")*1)),"")</f>
        <v>0</v>
      </c>
      <c r="G11" s="53">
        <f>IFERROR((SUMPRODUCT((LEFT('KRA W - Power'!$E$5:$E$14,1)="↑")*(('KRA W - Power'!$K$5:$K$14&lt;&gt;"")*1)*IFERROR('KRA W - Power'!$K$5:$K$14/IF('KRA W - Power'!$D$5:$D$14=0,1,'KRA W - Power'!$D$5:$D$14),0))+SUMPRODUCT((LEFT('KRA W - Power'!$E$5:$E$14,1)="↓")*(('KRA W - Power'!$K$5:$K$14&lt;&gt;"")*1)*IFERROR('KRA W - Power'!$D$5:$D$14/IF('KRA W - Power'!$K$5:$K$14=0,0.0001,'KRA W - Power'!$K$5:$K$14),0)))/MAX(1,SUMPRODUCT(('KRA W - Power'!$K$5:$K$14&lt;&gt;"")*1)),"")</f>
        <v>0</v>
      </c>
      <c r="H11" s="53">
        <f>IFERROR((SUMPRODUCT((LEFT('KRA W - Power'!$E$5:$E$14,1)="↑")*(('KRA W - Power'!$L$5:$L$14&lt;&gt;"")*1)*IFERROR('KRA W - Power'!$L$5:$L$14/IF('KRA W - Power'!$D$5:$D$14=0,1,'KRA W - Power'!$D$5:$D$14),0))+SUMPRODUCT((LEFT('KRA W - Power'!$E$5:$E$14,1)="↓")*(('KRA W - Power'!$L$5:$L$14&lt;&gt;"")*1)*IFERROR('KRA W - Power'!$D$5:$D$14/IF('KRA W - Power'!$L$5:$L$14=0,0.0001,'KRA W - Power'!$L$5:$L$14),0)))/MAX(1,SUMPRODUCT(('KRA W - Power'!$L$5:$L$14&lt;&gt;"")*1)),"")</f>
        <v>0</v>
      </c>
      <c r="I11" s="53">
        <f>IFERROR((SUMPRODUCT((LEFT('KRA W - Power'!$E$5:$E$14,1)="↑")*(('KRA W - Power'!$M$5:$M$14&lt;&gt;"")*1)*IFERROR('KRA W - Power'!$M$5:$M$14/IF('KRA W - Power'!$D$5:$D$14=0,1,'KRA W - Power'!$D$5:$D$14),0))+SUMPRODUCT((LEFT('KRA W - Power'!$E$5:$E$14,1)="↓")*(('KRA W - Power'!$M$5:$M$14&lt;&gt;"")*1)*IFERROR('KRA W - Power'!$D$5:$D$14/IF('KRA W - Power'!$M$5:$M$14=0,0.0001,'KRA W - Power'!$M$5:$M$14),0)))/MAX(1,SUMPRODUCT(('KRA W - Power'!$M$5:$M$14&lt;&gt;"")*1)),"")</f>
        <v>0</v>
      </c>
      <c r="J11" s="53">
        <f>IFERROR((SUMPRODUCT((LEFT('KRA W - Power'!$E$5:$E$14,1)="↑")*(('KRA W - Power'!$N$5:$N$14&lt;&gt;"")*1)*IFERROR('KRA W - Power'!$N$5:$N$14/IF('KRA W - Power'!$D$5:$D$14=0,1,'KRA W - Power'!$D$5:$D$14),0))+SUMPRODUCT((LEFT('KRA W - Power'!$E$5:$E$14,1)="↓")*(('KRA W - Power'!$N$5:$N$14&lt;&gt;"")*1)*IFERROR('KRA W - Power'!$D$5:$D$14/IF('KRA W - Power'!$N$5:$N$14=0,0.0001,'KRA W - Power'!$N$5:$N$14),0)))/MAX(1,SUMPRODUCT(('KRA W - Power'!$N$5:$N$14&lt;&gt;"")*1)),"")</f>
        <v>0</v>
      </c>
      <c r="K11" s="53">
        <f>IFERROR((SUMPRODUCT((LEFT('KRA W - Power'!$E$5:$E$14,1)="↑")*(('KRA W - Power'!$O$5:$O$14&lt;&gt;"")*1)*IFERROR('KRA W - Power'!$O$5:$O$14/IF('KRA W - Power'!$D$5:$D$14=0,1,'KRA W - Power'!$D$5:$D$14),0))+SUMPRODUCT((LEFT('KRA W - Power'!$E$5:$E$14,1)="↓")*(('KRA W - Power'!$O$5:$O$14&lt;&gt;"")*1)*IFERROR('KRA W - Power'!$D$5:$D$14/IF('KRA W - Power'!$O$5:$O$14=0,0.0001,'KRA W - Power'!$O$5:$O$14),0)))/MAX(1,SUMPRODUCT(('KRA W - Power'!$O$5:$O$14&lt;&gt;"")*1)),"")</f>
        <v>0</v>
      </c>
      <c r="L11" s="53">
        <f>IFERROR((SUMPRODUCT((LEFT('KRA W - Power'!$E$5:$E$14,1)="↑")*(('KRA W - Power'!$P$5:$P$14&lt;&gt;"")*1)*IFERROR('KRA W - Power'!$P$5:$P$14/IF('KRA W - Power'!$D$5:$D$14=0,1,'KRA W - Power'!$D$5:$D$14),0))+SUMPRODUCT((LEFT('KRA W - Power'!$E$5:$E$14,1)="↓")*(('KRA W - Power'!$P$5:$P$14&lt;&gt;"")*1)*IFERROR('KRA W - Power'!$D$5:$D$14/IF('KRA W - Power'!$P$5:$P$14=0,0.0001,'KRA W - Power'!$P$5:$P$14),0)))/MAX(1,SUMPRODUCT(('KRA W - Power'!$P$5:$P$14&lt;&gt;"")*1)),"")</f>
        <v>0</v>
      </c>
      <c r="M11" s="53">
        <f>IFERROR((SUMPRODUCT((LEFT('KRA W - Power'!$E$5:$E$14,1)="↑")*(('KRA W - Power'!$Q$5:$Q$14&lt;&gt;"")*1)*IFERROR('KRA W - Power'!$Q$5:$Q$14/IF('KRA W - Power'!$D$5:$D$14=0,1,'KRA W - Power'!$D$5:$D$14),0))+SUMPRODUCT((LEFT('KRA W - Power'!$E$5:$E$14,1)="↓")*(('KRA W - Power'!$Q$5:$Q$14&lt;&gt;"")*1)*IFERROR('KRA W - Power'!$D$5:$D$14/IF('KRA W - Power'!$Q$5:$Q$14=0,0.0001,'KRA W - Power'!$Q$5:$Q$14),0)))/MAX(1,SUMPRODUCT(('KRA W - Power'!$Q$5:$Q$14&lt;&gt;"")*1)),"")</f>
        <v>0</v>
      </c>
      <c r="N11" s="53">
        <f>IFERROR((SUMPRODUCT((LEFT('KRA W - Power'!$E$5:$E$14,1)="↑")*(('KRA W - Power'!$R$5:$R$14&lt;&gt;"")*1)*IFERROR('KRA W - Power'!$R$5:$R$14/IF('KRA W - Power'!$D$5:$D$14=0,1,'KRA W - Power'!$D$5:$D$14),0))+SUMPRODUCT((LEFT('KRA W - Power'!$E$5:$E$14,1)="↓")*(('KRA W - Power'!$R$5:$R$14&lt;&gt;"")*1)*IFERROR('KRA W - Power'!$D$5:$D$14/IF('KRA W - Power'!$R$5:$R$14=0,0.0001,'KRA W - Power'!$R$5:$R$14),0)))/MAX(1,SUMPRODUCT(('KRA W - Power'!$R$5:$R$14&lt;&gt;"")*1)),"")</f>
        <v>0</v>
      </c>
    </row>
    <row r="12" spans="1:14" ht="25.5" customHeight="1">
      <c r="A12" s="16" t="s">
        <v>92</v>
      </c>
      <c r="B12" s="17" t="s">
        <v>93</v>
      </c>
      <c r="C12" s="53">
        <f>IFERROR((SUMPRODUCT((LEFT('KRA L - Law &amp; Order, Public Sa'!$E$5:$E$12,1)="↑")*(('KRA L - Law &amp; Order, Public Sa'!$G$5:$G$12&lt;&gt;"")*1)*IFERROR('KRA L - Law &amp; Order, Public Sa'!$G$5:$G$12/IF('KRA L - Law &amp; Order, Public Sa'!$D$5:$D$12=0,1,'KRA L - Law &amp; Order, Public Sa'!$D$5:$D$12),0))+SUMPRODUCT((LEFT('KRA L - Law &amp; Order, Public Sa'!$E$5:$E$12,1)="↓")*(('KRA L - Law &amp; Order, Public Sa'!$G$5:$G$12&lt;&gt;"")*1)*IFERROR('KRA L - Law &amp; Order, Public Sa'!$D$5:$D$12/IF('KRA L - Law &amp; Order, Public Sa'!$G$5:$G$12=0,0.0001,'KRA L - Law &amp; Order, Public Sa'!$G$5:$G$12),0)))/MAX(1,SUMPRODUCT(('KRA L - Law &amp; Order, Public Sa'!$G$5:$G$12&lt;&gt;"")*1)),"")</f>
        <v>0</v>
      </c>
      <c r="D12" s="53">
        <f>IFERROR((SUMPRODUCT((LEFT('KRA L - Law &amp; Order, Public Sa'!$E$5:$E$12,1)="↑")*(('KRA L - Law &amp; Order, Public Sa'!$H$5:$H$12&lt;&gt;"")*1)*IFERROR('KRA L - Law &amp; Order, Public Sa'!$H$5:$H$12/IF('KRA L - Law &amp; Order, Public Sa'!$D$5:$D$12=0,1,'KRA L - Law &amp; Order, Public Sa'!$D$5:$D$12),0))+SUMPRODUCT((LEFT('KRA L - Law &amp; Order, Public Sa'!$E$5:$E$12,1)="↓")*(('KRA L - Law &amp; Order, Public Sa'!$H$5:$H$12&lt;&gt;"")*1)*IFERROR('KRA L - Law &amp; Order, Public Sa'!$D$5:$D$12/IF('KRA L - Law &amp; Order, Public Sa'!$H$5:$H$12=0,0.0001,'KRA L - Law &amp; Order, Public Sa'!$H$5:$H$12),0)))/MAX(1,SUMPRODUCT(('KRA L - Law &amp; Order, Public Sa'!$H$5:$H$12&lt;&gt;"")*1)),"")</f>
        <v>0</v>
      </c>
      <c r="E12" s="53">
        <f>IFERROR((SUMPRODUCT((LEFT('KRA L - Law &amp; Order, Public Sa'!$E$5:$E$12,1)="↑")*(('KRA L - Law &amp; Order, Public Sa'!$I$5:$I$12&lt;&gt;"")*1)*IFERROR('KRA L - Law &amp; Order, Public Sa'!$I$5:$I$12/IF('KRA L - Law &amp; Order, Public Sa'!$D$5:$D$12=0,1,'KRA L - Law &amp; Order, Public Sa'!$D$5:$D$12),0))+SUMPRODUCT((LEFT('KRA L - Law &amp; Order, Public Sa'!$E$5:$E$12,1)="↓")*(('KRA L - Law &amp; Order, Public Sa'!$I$5:$I$12&lt;&gt;"")*1)*IFERROR('KRA L - Law &amp; Order, Public Sa'!$D$5:$D$12/IF('KRA L - Law &amp; Order, Public Sa'!$I$5:$I$12=0,0.0001,'KRA L - Law &amp; Order, Public Sa'!$I$5:$I$12),0)))/MAX(1,SUMPRODUCT(('KRA L - Law &amp; Order, Public Sa'!$I$5:$I$12&lt;&gt;"")*1)),"")</f>
        <v>0</v>
      </c>
      <c r="F12" s="53">
        <f>IFERROR((SUMPRODUCT((LEFT('KRA L - Law &amp; Order, Public Sa'!$E$5:$E$12,1)="↑")*(('KRA L - Law &amp; Order, Public Sa'!$J$5:$J$12&lt;&gt;"")*1)*IFERROR('KRA L - Law &amp; Order, Public Sa'!$J$5:$J$12/IF('KRA L - Law &amp; Order, Public Sa'!$D$5:$D$12=0,1,'KRA L - Law &amp; Order, Public Sa'!$D$5:$D$12),0))+SUMPRODUCT((LEFT('KRA L - Law &amp; Order, Public Sa'!$E$5:$E$12,1)="↓")*(('KRA L - Law &amp; Order, Public Sa'!$J$5:$J$12&lt;&gt;"")*1)*IFERROR('KRA L - Law &amp; Order, Public Sa'!$D$5:$D$12/IF('KRA L - Law &amp; Order, Public Sa'!$J$5:$J$12=0,0.0001,'KRA L - Law &amp; Order, Public Sa'!$J$5:$J$12),0)))/MAX(1,SUMPRODUCT(('KRA L - Law &amp; Order, Public Sa'!$J$5:$J$12&lt;&gt;"")*1)),"")</f>
        <v>0</v>
      </c>
      <c r="G12" s="53">
        <f>IFERROR((SUMPRODUCT((LEFT('KRA L - Law &amp; Order, Public Sa'!$E$5:$E$12,1)="↑")*(('KRA L - Law &amp; Order, Public Sa'!$K$5:$K$12&lt;&gt;"")*1)*IFERROR('KRA L - Law &amp; Order, Public Sa'!$K$5:$K$12/IF('KRA L - Law &amp; Order, Public Sa'!$D$5:$D$12=0,1,'KRA L - Law &amp; Order, Public Sa'!$D$5:$D$12),0))+SUMPRODUCT((LEFT('KRA L - Law &amp; Order, Public Sa'!$E$5:$E$12,1)="↓")*(('KRA L - Law &amp; Order, Public Sa'!$K$5:$K$12&lt;&gt;"")*1)*IFERROR('KRA L - Law &amp; Order, Public Sa'!$D$5:$D$12/IF('KRA L - Law &amp; Order, Public Sa'!$K$5:$K$12=0,0.0001,'KRA L - Law &amp; Order, Public Sa'!$K$5:$K$12),0)))/MAX(1,SUMPRODUCT(('KRA L - Law &amp; Order, Public Sa'!$K$5:$K$12&lt;&gt;"")*1)),"")</f>
        <v>0</v>
      </c>
      <c r="H12" s="53">
        <f>IFERROR((SUMPRODUCT((LEFT('KRA L - Law &amp; Order, Public Sa'!$E$5:$E$12,1)="↑")*(('KRA L - Law &amp; Order, Public Sa'!$L$5:$L$12&lt;&gt;"")*1)*IFERROR('KRA L - Law &amp; Order, Public Sa'!$L$5:$L$12/IF('KRA L - Law &amp; Order, Public Sa'!$D$5:$D$12=0,1,'KRA L - Law &amp; Order, Public Sa'!$D$5:$D$12),0))+SUMPRODUCT((LEFT('KRA L - Law &amp; Order, Public Sa'!$E$5:$E$12,1)="↓")*(('KRA L - Law &amp; Order, Public Sa'!$L$5:$L$12&lt;&gt;"")*1)*IFERROR('KRA L - Law &amp; Order, Public Sa'!$D$5:$D$12/IF('KRA L - Law &amp; Order, Public Sa'!$L$5:$L$12=0,0.0001,'KRA L - Law &amp; Order, Public Sa'!$L$5:$L$12),0)))/MAX(1,SUMPRODUCT(('KRA L - Law &amp; Order, Public Sa'!$L$5:$L$12&lt;&gt;"")*1)),"")</f>
        <v>0</v>
      </c>
      <c r="I12" s="53">
        <f>IFERROR((SUMPRODUCT((LEFT('KRA L - Law &amp; Order, Public Sa'!$E$5:$E$12,1)="↑")*(('KRA L - Law &amp; Order, Public Sa'!$M$5:$M$12&lt;&gt;"")*1)*IFERROR('KRA L - Law &amp; Order, Public Sa'!$M$5:$M$12/IF('KRA L - Law &amp; Order, Public Sa'!$D$5:$D$12=0,1,'KRA L - Law &amp; Order, Public Sa'!$D$5:$D$12),0))+SUMPRODUCT((LEFT('KRA L - Law &amp; Order, Public Sa'!$E$5:$E$12,1)="↓")*(('KRA L - Law &amp; Order, Public Sa'!$M$5:$M$12&lt;&gt;"")*1)*IFERROR('KRA L - Law &amp; Order, Public Sa'!$D$5:$D$12/IF('KRA L - Law &amp; Order, Public Sa'!$M$5:$M$12=0,0.0001,'KRA L - Law &amp; Order, Public Sa'!$M$5:$M$12),0)))/MAX(1,SUMPRODUCT(('KRA L - Law &amp; Order, Public Sa'!$M$5:$M$12&lt;&gt;"")*1)),"")</f>
        <v>0</v>
      </c>
      <c r="J12" s="53">
        <f>IFERROR((SUMPRODUCT((LEFT('KRA L - Law &amp; Order, Public Sa'!$E$5:$E$12,1)="↑")*(('KRA L - Law &amp; Order, Public Sa'!$N$5:$N$12&lt;&gt;"")*1)*IFERROR('KRA L - Law &amp; Order, Public Sa'!$N$5:$N$12/IF('KRA L - Law &amp; Order, Public Sa'!$D$5:$D$12=0,1,'KRA L - Law &amp; Order, Public Sa'!$D$5:$D$12),0))+SUMPRODUCT((LEFT('KRA L - Law &amp; Order, Public Sa'!$E$5:$E$12,1)="↓")*(('KRA L - Law &amp; Order, Public Sa'!$N$5:$N$12&lt;&gt;"")*1)*IFERROR('KRA L - Law &amp; Order, Public Sa'!$D$5:$D$12/IF('KRA L - Law &amp; Order, Public Sa'!$N$5:$N$12=0,0.0001,'KRA L - Law &amp; Order, Public Sa'!$N$5:$N$12),0)))/MAX(1,SUMPRODUCT(('KRA L - Law &amp; Order, Public Sa'!$N$5:$N$12&lt;&gt;"")*1)),"")</f>
        <v>0</v>
      </c>
      <c r="K12" s="53">
        <f>IFERROR((SUMPRODUCT((LEFT('KRA L - Law &amp; Order, Public Sa'!$E$5:$E$12,1)="↑")*(('KRA L - Law &amp; Order, Public Sa'!$O$5:$O$12&lt;&gt;"")*1)*IFERROR('KRA L - Law &amp; Order, Public Sa'!$O$5:$O$12/IF('KRA L - Law &amp; Order, Public Sa'!$D$5:$D$12=0,1,'KRA L - Law &amp; Order, Public Sa'!$D$5:$D$12),0))+SUMPRODUCT((LEFT('KRA L - Law &amp; Order, Public Sa'!$E$5:$E$12,1)="↓")*(('KRA L - Law &amp; Order, Public Sa'!$O$5:$O$12&lt;&gt;"")*1)*IFERROR('KRA L - Law &amp; Order, Public Sa'!$D$5:$D$12/IF('KRA L - Law &amp; Order, Public Sa'!$O$5:$O$12=0,0.0001,'KRA L - Law &amp; Order, Public Sa'!$O$5:$O$12),0)))/MAX(1,SUMPRODUCT(('KRA L - Law &amp; Order, Public Sa'!$O$5:$O$12&lt;&gt;"")*1)),"")</f>
        <v>0</v>
      </c>
      <c r="L12" s="53">
        <f>IFERROR((SUMPRODUCT((LEFT('KRA L - Law &amp; Order, Public Sa'!$E$5:$E$12,1)="↑")*(('KRA L - Law &amp; Order, Public Sa'!$P$5:$P$12&lt;&gt;"")*1)*IFERROR('KRA L - Law &amp; Order, Public Sa'!$P$5:$P$12/IF('KRA L - Law &amp; Order, Public Sa'!$D$5:$D$12=0,1,'KRA L - Law &amp; Order, Public Sa'!$D$5:$D$12),0))+SUMPRODUCT((LEFT('KRA L - Law &amp; Order, Public Sa'!$E$5:$E$12,1)="↓")*(('KRA L - Law &amp; Order, Public Sa'!$P$5:$P$12&lt;&gt;"")*1)*IFERROR('KRA L - Law &amp; Order, Public Sa'!$D$5:$D$12/IF('KRA L - Law &amp; Order, Public Sa'!$P$5:$P$12=0,0.0001,'KRA L - Law &amp; Order, Public Sa'!$P$5:$P$12),0)))/MAX(1,SUMPRODUCT(('KRA L - Law &amp; Order, Public Sa'!$P$5:$P$12&lt;&gt;"")*1)),"")</f>
        <v>0</v>
      </c>
      <c r="M12" s="53">
        <f>IFERROR((SUMPRODUCT((LEFT('KRA L - Law &amp; Order, Public Sa'!$E$5:$E$12,1)="↑")*(('KRA L - Law &amp; Order, Public Sa'!$Q$5:$Q$12&lt;&gt;"")*1)*IFERROR('KRA L - Law &amp; Order, Public Sa'!$Q$5:$Q$12/IF('KRA L - Law &amp; Order, Public Sa'!$D$5:$D$12=0,1,'KRA L - Law &amp; Order, Public Sa'!$D$5:$D$12),0))+SUMPRODUCT((LEFT('KRA L - Law &amp; Order, Public Sa'!$E$5:$E$12,1)="↓")*(('KRA L - Law &amp; Order, Public Sa'!$Q$5:$Q$12&lt;&gt;"")*1)*IFERROR('KRA L - Law &amp; Order, Public Sa'!$D$5:$D$12/IF('KRA L - Law &amp; Order, Public Sa'!$Q$5:$Q$12=0,0.0001,'KRA L - Law &amp; Order, Public Sa'!$Q$5:$Q$12),0)))/MAX(1,SUMPRODUCT(('KRA L - Law &amp; Order, Public Sa'!$Q$5:$Q$12&lt;&gt;"")*1)),"")</f>
        <v>0</v>
      </c>
      <c r="N12" s="53">
        <f>IFERROR((SUMPRODUCT((LEFT('KRA L - Law &amp; Order, Public Sa'!$E$5:$E$12,1)="↑")*(('KRA L - Law &amp; Order, Public Sa'!$R$5:$R$12&lt;&gt;"")*1)*IFERROR('KRA L - Law &amp; Order, Public Sa'!$R$5:$R$12/IF('KRA L - Law &amp; Order, Public Sa'!$D$5:$D$12=0,1,'KRA L - Law &amp; Order, Public Sa'!$D$5:$D$12),0))+SUMPRODUCT((LEFT('KRA L - Law &amp; Order, Public Sa'!$E$5:$E$12,1)="↓")*(('KRA L - Law &amp; Order, Public Sa'!$R$5:$R$12&lt;&gt;"")*1)*IFERROR('KRA L - Law &amp; Order, Public Sa'!$D$5:$D$12/IF('KRA L - Law &amp; Order, Public Sa'!$R$5:$R$12=0,0.0001,'KRA L - Law &amp; Order, Public Sa'!$R$5:$R$12),0)))/MAX(1,SUMPRODUCT(('KRA L - Law &amp; Order, Public Sa'!$R$5:$R$12&lt;&gt;"")*1)),"")</f>
        <v>0</v>
      </c>
    </row>
    <row r="13" spans="1:14" ht="25.5" customHeight="1">
      <c r="A13" s="16" t="s">
        <v>94</v>
      </c>
      <c r="B13" s="17" t="s">
        <v>95</v>
      </c>
      <c r="C13" s="53">
        <f>IFERROR((SUMPRODUCT((LEFT('KRA G - Agriculture, Horticult'!$E$5:$E$14,1)="↑")*(('KRA G - Agriculture, Horticult'!$G$5:$G$14&lt;&gt;"")*1)*IFERROR('KRA G - Agriculture, Horticult'!$G$5:$G$14/IF('KRA G - Agriculture, Horticult'!$D$5:$D$14=0,1,'KRA G - Agriculture, Horticult'!$D$5:$D$14),0))+SUMPRODUCT((LEFT('KRA G - Agriculture, Horticult'!$E$5:$E$14,1)="↓")*(('KRA G - Agriculture, Horticult'!$G$5:$G$14&lt;&gt;"")*1)*IFERROR('KRA G - Agriculture, Horticult'!$D$5:$D$14/IF('KRA G - Agriculture, Horticult'!$G$5:$G$14=0,0.0001,'KRA G - Agriculture, Horticult'!$G$5:$G$14),0)))/MAX(1,SUMPRODUCT(('KRA G - Agriculture, Horticult'!$G$5:$G$14&lt;&gt;"")*1)),"")</f>
        <v>0</v>
      </c>
      <c r="D13" s="53">
        <f>IFERROR((SUMPRODUCT((LEFT('KRA G - Agriculture, Horticult'!$E$5:$E$14,1)="↑")*(('KRA G - Agriculture, Horticult'!$H$5:$H$14&lt;&gt;"")*1)*IFERROR('KRA G - Agriculture, Horticult'!$H$5:$H$14/IF('KRA G - Agriculture, Horticult'!$D$5:$D$14=0,1,'KRA G - Agriculture, Horticult'!$D$5:$D$14),0))+SUMPRODUCT((LEFT('KRA G - Agriculture, Horticult'!$E$5:$E$14,1)="↓")*(('KRA G - Agriculture, Horticult'!$H$5:$H$14&lt;&gt;"")*1)*IFERROR('KRA G - Agriculture, Horticult'!$D$5:$D$14/IF('KRA G - Agriculture, Horticult'!$H$5:$H$14=0,0.0001,'KRA G - Agriculture, Horticult'!$H$5:$H$14),0)))/MAX(1,SUMPRODUCT(('KRA G - Agriculture, Horticult'!$H$5:$H$14&lt;&gt;"")*1)),"")</f>
        <v>0</v>
      </c>
      <c r="E13" s="53">
        <f>IFERROR((SUMPRODUCT((LEFT('KRA G - Agriculture, Horticult'!$E$5:$E$14,1)="↑")*(('KRA G - Agriculture, Horticult'!$I$5:$I$14&lt;&gt;"")*1)*IFERROR('KRA G - Agriculture, Horticult'!$I$5:$I$14/IF('KRA G - Agriculture, Horticult'!$D$5:$D$14=0,1,'KRA G - Agriculture, Horticult'!$D$5:$D$14),0))+SUMPRODUCT((LEFT('KRA G - Agriculture, Horticult'!$E$5:$E$14,1)="↓")*(('KRA G - Agriculture, Horticult'!$I$5:$I$14&lt;&gt;"")*1)*IFERROR('KRA G - Agriculture, Horticult'!$D$5:$D$14/IF('KRA G - Agriculture, Horticult'!$I$5:$I$14=0,0.0001,'KRA G - Agriculture, Horticult'!$I$5:$I$14),0)))/MAX(1,SUMPRODUCT(('KRA G - Agriculture, Horticult'!$I$5:$I$14&lt;&gt;"")*1)),"")</f>
        <v>0</v>
      </c>
      <c r="F13" s="53">
        <f>IFERROR((SUMPRODUCT((LEFT('KRA G - Agriculture, Horticult'!$E$5:$E$14,1)="↑")*(('KRA G - Agriculture, Horticult'!$J$5:$J$14&lt;&gt;"")*1)*IFERROR('KRA G - Agriculture, Horticult'!$J$5:$J$14/IF('KRA G - Agriculture, Horticult'!$D$5:$D$14=0,1,'KRA G - Agriculture, Horticult'!$D$5:$D$14),0))+SUMPRODUCT((LEFT('KRA G - Agriculture, Horticult'!$E$5:$E$14,1)="↓")*(('KRA G - Agriculture, Horticult'!$J$5:$J$14&lt;&gt;"")*1)*IFERROR('KRA G - Agriculture, Horticult'!$D$5:$D$14/IF('KRA G - Agriculture, Horticult'!$J$5:$J$14=0,0.0001,'KRA G - Agriculture, Horticult'!$J$5:$J$14),0)))/MAX(1,SUMPRODUCT(('KRA G - Agriculture, Horticult'!$J$5:$J$14&lt;&gt;"")*1)),"")</f>
        <v>0</v>
      </c>
      <c r="G13" s="53">
        <f>IFERROR((SUMPRODUCT((LEFT('KRA G - Agriculture, Horticult'!$E$5:$E$14,1)="↑")*(('KRA G - Agriculture, Horticult'!$K$5:$K$14&lt;&gt;"")*1)*IFERROR('KRA G - Agriculture, Horticult'!$K$5:$K$14/IF('KRA G - Agriculture, Horticult'!$D$5:$D$14=0,1,'KRA G - Agriculture, Horticult'!$D$5:$D$14),0))+SUMPRODUCT((LEFT('KRA G - Agriculture, Horticult'!$E$5:$E$14,1)="↓")*(('KRA G - Agriculture, Horticult'!$K$5:$K$14&lt;&gt;"")*1)*IFERROR('KRA G - Agriculture, Horticult'!$D$5:$D$14/IF('KRA G - Agriculture, Horticult'!$K$5:$K$14=0,0.0001,'KRA G - Agriculture, Horticult'!$K$5:$K$14),0)))/MAX(1,SUMPRODUCT(('KRA G - Agriculture, Horticult'!$K$5:$K$14&lt;&gt;"")*1)),"")</f>
        <v>0</v>
      </c>
      <c r="H13" s="53">
        <f>IFERROR((SUMPRODUCT((LEFT('KRA G - Agriculture, Horticult'!$E$5:$E$14,1)="↑")*(('KRA G - Agriculture, Horticult'!$L$5:$L$14&lt;&gt;"")*1)*IFERROR('KRA G - Agriculture, Horticult'!$L$5:$L$14/IF('KRA G - Agriculture, Horticult'!$D$5:$D$14=0,1,'KRA G - Agriculture, Horticult'!$D$5:$D$14),0))+SUMPRODUCT((LEFT('KRA G - Agriculture, Horticult'!$E$5:$E$14,1)="↓")*(('KRA G - Agriculture, Horticult'!$L$5:$L$14&lt;&gt;"")*1)*IFERROR('KRA G - Agriculture, Horticult'!$D$5:$D$14/IF('KRA G - Agriculture, Horticult'!$L$5:$L$14=0,0.0001,'KRA G - Agriculture, Horticult'!$L$5:$L$14),0)))/MAX(1,SUMPRODUCT(('KRA G - Agriculture, Horticult'!$L$5:$L$14&lt;&gt;"")*1)),"")</f>
        <v>0</v>
      </c>
      <c r="I13" s="53">
        <f>IFERROR((SUMPRODUCT((LEFT('KRA G - Agriculture, Horticult'!$E$5:$E$14,1)="↑")*(('KRA G - Agriculture, Horticult'!$M$5:$M$14&lt;&gt;"")*1)*IFERROR('KRA G - Agriculture, Horticult'!$M$5:$M$14/IF('KRA G - Agriculture, Horticult'!$D$5:$D$14=0,1,'KRA G - Agriculture, Horticult'!$D$5:$D$14),0))+SUMPRODUCT((LEFT('KRA G - Agriculture, Horticult'!$E$5:$E$14,1)="↓")*(('KRA G - Agriculture, Horticult'!$M$5:$M$14&lt;&gt;"")*1)*IFERROR('KRA G - Agriculture, Horticult'!$D$5:$D$14/IF('KRA G - Agriculture, Horticult'!$M$5:$M$14=0,0.0001,'KRA G - Agriculture, Horticult'!$M$5:$M$14),0)))/MAX(1,SUMPRODUCT(('KRA G - Agriculture, Horticult'!$M$5:$M$14&lt;&gt;"")*1)),"")</f>
        <v>0</v>
      </c>
      <c r="J13" s="53">
        <f>IFERROR((SUMPRODUCT((LEFT('KRA G - Agriculture, Horticult'!$E$5:$E$14,1)="↑")*(('KRA G - Agriculture, Horticult'!$N$5:$N$14&lt;&gt;"")*1)*IFERROR('KRA G - Agriculture, Horticult'!$N$5:$N$14/IF('KRA G - Agriculture, Horticult'!$D$5:$D$14=0,1,'KRA G - Agriculture, Horticult'!$D$5:$D$14),0))+SUMPRODUCT((LEFT('KRA G - Agriculture, Horticult'!$E$5:$E$14,1)="↓")*(('KRA G - Agriculture, Horticult'!$N$5:$N$14&lt;&gt;"")*1)*IFERROR('KRA G - Agriculture, Horticult'!$D$5:$D$14/IF('KRA G - Agriculture, Horticult'!$N$5:$N$14=0,0.0001,'KRA G - Agriculture, Horticult'!$N$5:$N$14),0)))/MAX(1,SUMPRODUCT(('KRA G - Agriculture, Horticult'!$N$5:$N$14&lt;&gt;"")*1)),"")</f>
        <v>0</v>
      </c>
      <c r="K13" s="53">
        <f>IFERROR((SUMPRODUCT((LEFT('KRA G - Agriculture, Horticult'!$E$5:$E$14,1)="↑")*(('KRA G - Agriculture, Horticult'!$O$5:$O$14&lt;&gt;"")*1)*IFERROR('KRA G - Agriculture, Horticult'!$O$5:$O$14/IF('KRA G - Agriculture, Horticult'!$D$5:$D$14=0,1,'KRA G - Agriculture, Horticult'!$D$5:$D$14),0))+SUMPRODUCT((LEFT('KRA G - Agriculture, Horticult'!$E$5:$E$14,1)="↓")*(('KRA G - Agriculture, Horticult'!$O$5:$O$14&lt;&gt;"")*1)*IFERROR('KRA G - Agriculture, Horticult'!$D$5:$D$14/IF('KRA G - Agriculture, Horticult'!$O$5:$O$14=0,0.0001,'KRA G - Agriculture, Horticult'!$O$5:$O$14),0)))/MAX(1,SUMPRODUCT(('KRA G - Agriculture, Horticult'!$O$5:$O$14&lt;&gt;"")*1)),"")</f>
        <v>0</v>
      </c>
      <c r="L13" s="53">
        <f>IFERROR((SUMPRODUCT((LEFT('KRA G - Agriculture, Horticult'!$E$5:$E$14,1)="↑")*(('KRA G - Agriculture, Horticult'!$P$5:$P$14&lt;&gt;"")*1)*IFERROR('KRA G - Agriculture, Horticult'!$P$5:$P$14/IF('KRA G - Agriculture, Horticult'!$D$5:$D$14=0,1,'KRA G - Agriculture, Horticult'!$D$5:$D$14),0))+SUMPRODUCT((LEFT('KRA G - Agriculture, Horticult'!$E$5:$E$14,1)="↓")*(('KRA G - Agriculture, Horticult'!$P$5:$P$14&lt;&gt;"")*1)*IFERROR('KRA G - Agriculture, Horticult'!$D$5:$D$14/IF('KRA G - Agriculture, Horticult'!$P$5:$P$14=0,0.0001,'KRA G - Agriculture, Horticult'!$P$5:$P$14),0)))/MAX(1,SUMPRODUCT(('KRA G - Agriculture, Horticult'!$P$5:$P$14&lt;&gt;"")*1)),"")</f>
        <v>0</v>
      </c>
      <c r="M13" s="53">
        <f>IFERROR((SUMPRODUCT((LEFT('KRA G - Agriculture, Horticult'!$E$5:$E$14,1)="↑")*(('KRA G - Agriculture, Horticult'!$Q$5:$Q$14&lt;&gt;"")*1)*IFERROR('KRA G - Agriculture, Horticult'!$Q$5:$Q$14/IF('KRA G - Agriculture, Horticult'!$D$5:$D$14=0,1,'KRA G - Agriculture, Horticult'!$D$5:$D$14),0))+SUMPRODUCT((LEFT('KRA G - Agriculture, Horticult'!$E$5:$E$14,1)="↓")*(('KRA G - Agriculture, Horticult'!$Q$5:$Q$14&lt;&gt;"")*1)*IFERROR('KRA G - Agriculture, Horticult'!$D$5:$D$14/IF('KRA G - Agriculture, Horticult'!$Q$5:$Q$14=0,0.0001,'KRA G - Agriculture, Horticult'!$Q$5:$Q$14),0)))/MAX(1,SUMPRODUCT(('KRA G - Agriculture, Horticult'!$Q$5:$Q$14&lt;&gt;"")*1)),"")</f>
        <v>0</v>
      </c>
      <c r="N13" s="53">
        <f>IFERROR((SUMPRODUCT((LEFT('KRA G - Agriculture, Horticult'!$E$5:$E$14,1)="↑")*(('KRA G - Agriculture, Horticult'!$R$5:$R$14&lt;&gt;"")*1)*IFERROR('KRA G - Agriculture, Horticult'!$R$5:$R$14/IF('KRA G - Agriculture, Horticult'!$D$5:$D$14=0,1,'KRA G - Agriculture, Horticult'!$D$5:$D$14),0))+SUMPRODUCT((LEFT('KRA G - Agriculture, Horticult'!$E$5:$E$14,1)="↓")*(('KRA G - Agriculture, Horticult'!$R$5:$R$14&lt;&gt;"")*1)*IFERROR('KRA G - Agriculture, Horticult'!$D$5:$D$14/IF('KRA G - Agriculture, Horticult'!$R$5:$R$14=0,0.0001,'KRA G - Agriculture, Horticult'!$R$5:$R$14),0)))/MAX(1,SUMPRODUCT(('KRA G - Agriculture, Horticult'!$R$5:$R$14&lt;&gt;"")*1)),"")</f>
        <v>0</v>
      </c>
    </row>
    <row r="14" spans="1:14" ht="25.5" customHeight="1">
      <c r="A14" s="16" t="s">
        <v>96</v>
      </c>
      <c r="B14" s="17" t="s">
        <v>97</v>
      </c>
      <c r="C14" s="53">
        <f>IFERROR((SUMPRODUCT((LEFT('KRA C - Convergence &amp; Saturati'!$E$5:$E$12,1)="↑")*(('KRA C - Convergence &amp; Saturati'!$G$5:$G$12&lt;&gt;"")*1)*IFERROR('KRA C - Convergence &amp; Saturati'!$G$5:$G$12/IF('KRA C - Convergence &amp; Saturati'!$D$5:$D$12=0,1,'KRA C - Convergence &amp; Saturati'!$D$5:$D$12),0))+SUMPRODUCT((LEFT('KRA C - Convergence &amp; Saturati'!$E$5:$E$12,1)="↓")*(('KRA C - Convergence &amp; Saturati'!$G$5:$G$12&lt;&gt;"")*1)*IFERROR('KRA C - Convergence &amp; Saturati'!$D$5:$D$12/IF('KRA C - Convergence &amp; Saturati'!$G$5:$G$12=0,0.0001,'KRA C - Convergence &amp; Saturati'!$G$5:$G$12),0)))/MAX(1,SUMPRODUCT(('KRA C - Convergence &amp; Saturati'!$G$5:$G$12&lt;&gt;"")*1)),"")</f>
        <v>0</v>
      </c>
      <c r="D14" s="53">
        <f>IFERROR((SUMPRODUCT((LEFT('KRA C - Convergence &amp; Saturati'!$E$5:$E$12,1)="↑")*(('KRA C - Convergence &amp; Saturati'!$H$5:$H$12&lt;&gt;"")*1)*IFERROR('KRA C - Convergence &amp; Saturati'!$H$5:$H$12/IF('KRA C - Convergence &amp; Saturati'!$D$5:$D$12=0,1,'KRA C - Convergence &amp; Saturati'!$D$5:$D$12),0))+SUMPRODUCT((LEFT('KRA C - Convergence &amp; Saturati'!$E$5:$E$12,1)="↓")*(('KRA C - Convergence &amp; Saturati'!$H$5:$H$12&lt;&gt;"")*1)*IFERROR('KRA C - Convergence &amp; Saturati'!$D$5:$D$12/IF('KRA C - Convergence &amp; Saturati'!$H$5:$H$12=0,0.0001,'KRA C - Convergence &amp; Saturati'!$H$5:$H$12),0)))/MAX(1,SUMPRODUCT(('KRA C - Convergence &amp; Saturati'!$H$5:$H$12&lt;&gt;"")*1)),"")</f>
        <v>0</v>
      </c>
      <c r="E14" s="53">
        <f>IFERROR((SUMPRODUCT((LEFT('KRA C - Convergence &amp; Saturati'!$E$5:$E$12,1)="↑")*(('KRA C - Convergence &amp; Saturati'!$I$5:$I$12&lt;&gt;"")*1)*IFERROR('KRA C - Convergence &amp; Saturati'!$I$5:$I$12/IF('KRA C - Convergence &amp; Saturati'!$D$5:$D$12=0,1,'KRA C - Convergence &amp; Saturati'!$D$5:$D$12),0))+SUMPRODUCT((LEFT('KRA C - Convergence &amp; Saturati'!$E$5:$E$12,1)="↓")*(('KRA C - Convergence &amp; Saturati'!$I$5:$I$12&lt;&gt;"")*1)*IFERROR('KRA C - Convergence &amp; Saturati'!$D$5:$D$12/IF('KRA C - Convergence &amp; Saturati'!$I$5:$I$12=0,0.0001,'KRA C - Convergence &amp; Saturati'!$I$5:$I$12),0)))/MAX(1,SUMPRODUCT(('KRA C - Convergence &amp; Saturati'!$I$5:$I$12&lt;&gt;"")*1)),"")</f>
        <v>0</v>
      </c>
      <c r="F14" s="53">
        <f>IFERROR((SUMPRODUCT((LEFT('KRA C - Convergence &amp; Saturati'!$E$5:$E$12,1)="↑")*(('KRA C - Convergence &amp; Saturati'!$J$5:$J$12&lt;&gt;"")*1)*IFERROR('KRA C - Convergence &amp; Saturati'!$J$5:$J$12/IF('KRA C - Convergence &amp; Saturati'!$D$5:$D$12=0,1,'KRA C - Convergence &amp; Saturati'!$D$5:$D$12),0))+SUMPRODUCT((LEFT('KRA C - Convergence &amp; Saturati'!$E$5:$E$12,1)="↓")*(('KRA C - Convergence &amp; Saturati'!$J$5:$J$12&lt;&gt;"")*1)*IFERROR('KRA C - Convergence &amp; Saturati'!$D$5:$D$12/IF('KRA C - Convergence &amp; Saturati'!$J$5:$J$12=0,0.0001,'KRA C - Convergence &amp; Saturati'!$J$5:$J$12),0)))/MAX(1,SUMPRODUCT(('KRA C - Convergence &amp; Saturati'!$J$5:$J$12&lt;&gt;"")*1)),"")</f>
        <v>0</v>
      </c>
      <c r="G14" s="53">
        <f>IFERROR((SUMPRODUCT((LEFT('KRA C - Convergence &amp; Saturati'!$E$5:$E$12,1)="↑")*(('KRA C - Convergence &amp; Saturati'!$K$5:$K$12&lt;&gt;"")*1)*IFERROR('KRA C - Convergence &amp; Saturati'!$K$5:$K$12/IF('KRA C - Convergence &amp; Saturati'!$D$5:$D$12=0,1,'KRA C - Convergence &amp; Saturati'!$D$5:$D$12),0))+SUMPRODUCT((LEFT('KRA C - Convergence &amp; Saturati'!$E$5:$E$12,1)="↓")*(('KRA C - Convergence &amp; Saturati'!$K$5:$K$12&lt;&gt;"")*1)*IFERROR('KRA C - Convergence &amp; Saturati'!$D$5:$D$12/IF('KRA C - Convergence &amp; Saturati'!$K$5:$K$12=0,0.0001,'KRA C - Convergence &amp; Saturati'!$K$5:$K$12),0)))/MAX(1,SUMPRODUCT(('KRA C - Convergence &amp; Saturati'!$K$5:$K$12&lt;&gt;"")*1)),"")</f>
        <v>0</v>
      </c>
      <c r="H14" s="53">
        <f>IFERROR((SUMPRODUCT((LEFT('KRA C - Convergence &amp; Saturati'!$E$5:$E$12,1)="↑")*(('KRA C - Convergence &amp; Saturati'!$L$5:$L$12&lt;&gt;"")*1)*IFERROR('KRA C - Convergence &amp; Saturati'!$L$5:$L$12/IF('KRA C - Convergence &amp; Saturati'!$D$5:$D$12=0,1,'KRA C - Convergence &amp; Saturati'!$D$5:$D$12),0))+SUMPRODUCT((LEFT('KRA C - Convergence &amp; Saturati'!$E$5:$E$12,1)="↓")*(('KRA C - Convergence &amp; Saturati'!$L$5:$L$12&lt;&gt;"")*1)*IFERROR('KRA C - Convergence &amp; Saturati'!$D$5:$D$12/IF('KRA C - Convergence &amp; Saturati'!$L$5:$L$12=0,0.0001,'KRA C - Convergence &amp; Saturati'!$L$5:$L$12),0)))/MAX(1,SUMPRODUCT(('KRA C - Convergence &amp; Saturati'!$L$5:$L$12&lt;&gt;"")*1)),"")</f>
        <v>0</v>
      </c>
      <c r="I14" s="53">
        <f>IFERROR((SUMPRODUCT((LEFT('KRA C - Convergence &amp; Saturati'!$E$5:$E$12,1)="↑")*(('KRA C - Convergence &amp; Saturati'!$M$5:$M$12&lt;&gt;"")*1)*IFERROR('KRA C - Convergence &amp; Saturati'!$M$5:$M$12/IF('KRA C - Convergence &amp; Saturati'!$D$5:$D$12=0,1,'KRA C - Convergence &amp; Saturati'!$D$5:$D$12),0))+SUMPRODUCT((LEFT('KRA C - Convergence &amp; Saturati'!$E$5:$E$12,1)="↓")*(('KRA C - Convergence &amp; Saturati'!$M$5:$M$12&lt;&gt;"")*1)*IFERROR('KRA C - Convergence &amp; Saturati'!$D$5:$D$12/IF('KRA C - Convergence &amp; Saturati'!$M$5:$M$12=0,0.0001,'KRA C - Convergence &amp; Saturati'!$M$5:$M$12),0)))/MAX(1,SUMPRODUCT(('KRA C - Convergence &amp; Saturati'!$M$5:$M$12&lt;&gt;"")*1)),"")</f>
        <v>0</v>
      </c>
      <c r="J14" s="53">
        <f>IFERROR((SUMPRODUCT((LEFT('KRA C - Convergence &amp; Saturati'!$E$5:$E$12,1)="↑")*(('KRA C - Convergence &amp; Saturati'!$N$5:$N$12&lt;&gt;"")*1)*IFERROR('KRA C - Convergence &amp; Saturati'!$N$5:$N$12/IF('KRA C - Convergence &amp; Saturati'!$D$5:$D$12=0,1,'KRA C - Convergence &amp; Saturati'!$D$5:$D$12),0))+SUMPRODUCT((LEFT('KRA C - Convergence &amp; Saturati'!$E$5:$E$12,1)="↓")*(('KRA C - Convergence &amp; Saturati'!$N$5:$N$12&lt;&gt;"")*1)*IFERROR('KRA C - Convergence &amp; Saturati'!$D$5:$D$12/IF('KRA C - Convergence &amp; Saturati'!$N$5:$N$12=0,0.0001,'KRA C - Convergence &amp; Saturati'!$N$5:$N$12),0)))/MAX(1,SUMPRODUCT(('KRA C - Convergence &amp; Saturati'!$N$5:$N$12&lt;&gt;"")*1)),"")</f>
        <v>0</v>
      </c>
      <c r="K14" s="53">
        <f>IFERROR((SUMPRODUCT((LEFT('KRA C - Convergence &amp; Saturati'!$E$5:$E$12,1)="↑")*(('KRA C - Convergence &amp; Saturati'!$O$5:$O$12&lt;&gt;"")*1)*IFERROR('KRA C - Convergence &amp; Saturati'!$O$5:$O$12/IF('KRA C - Convergence &amp; Saturati'!$D$5:$D$12=0,1,'KRA C - Convergence &amp; Saturati'!$D$5:$D$12),0))+SUMPRODUCT((LEFT('KRA C - Convergence &amp; Saturati'!$E$5:$E$12,1)="↓")*(('KRA C - Convergence &amp; Saturati'!$O$5:$O$12&lt;&gt;"")*1)*IFERROR('KRA C - Convergence &amp; Saturati'!$D$5:$D$12/IF('KRA C - Convergence &amp; Saturati'!$O$5:$O$12=0,0.0001,'KRA C - Convergence &amp; Saturati'!$O$5:$O$12),0)))/MAX(1,SUMPRODUCT(('KRA C - Convergence &amp; Saturati'!$O$5:$O$12&lt;&gt;"")*1)),"")</f>
        <v>0</v>
      </c>
      <c r="L14" s="53">
        <f>IFERROR((SUMPRODUCT((LEFT('KRA C - Convergence &amp; Saturati'!$E$5:$E$12,1)="↑")*(('KRA C - Convergence &amp; Saturati'!$P$5:$P$12&lt;&gt;"")*1)*IFERROR('KRA C - Convergence &amp; Saturati'!$P$5:$P$12/IF('KRA C - Convergence &amp; Saturati'!$D$5:$D$12=0,1,'KRA C - Convergence &amp; Saturati'!$D$5:$D$12),0))+SUMPRODUCT((LEFT('KRA C - Convergence &amp; Saturati'!$E$5:$E$12,1)="↓")*(('KRA C - Convergence &amp; Saturati'!$P$5:$P$12&lt;&gt;"")*1)*IFERROR('KRA C - Convergence &amp; Saturati'!$D$5:$D$12/IF('KRA C - Convergence &amp; Saturati'!$P$5:$P$12=0,0.0001,'KRA C - Convergence &amp; Saturati'!$P$5:$P$12),0)))/MAX(1,SUMPRODUCT(('KRA C - Convergence &amp; Saturati'!$P$5:$P$12&lt;&gt;"")*1)),"")</f>
        <v>0</v>
      </c>
      <c r="M14" s="53">
        <f>IFERROR((SUMPRODUCT((LEFT('KRA C - Convergence &amp; Saturati'!$E$5:$E$12,1)="↑")*(('KRA C - Convergence &amp; Saturati'!$Q$5:$Q$12&lt;&gt;"")*1)*IFERROR('KRA C - Convergence &amp; Saturati'!$Q$5:$Q$12/IF('KRA C - Convergence &amp; Saturati'!$D$5:$D$12=0,1,'KRA C - Convergence &amp; Saturati'!$D$5:$D$12),0))+SUMPRODUCT((LEFT('KRA C - Convergence &amp; Saturati'!$E$5:$E$12,1)="↓")*(('KRA C - Convergence &amp; Saturati'!$Q$5:$Q$12&lt;&gt;"")*1)*IFERROR('KRA C - Convergence &amp; Saturati'!$D$5:$D$12/IF('KRA C - Convergence &amp; Saturati'!$Q$5:$Q$12=0,0.0001,'KRA C - Convergence &amp; Saturati'!$Q$5:$Q$12),0)))/MAX(1,SUMPRODUCT(('KRA C - Convergence &amp; Saturati'!$Q$5:$Q$12&lt;&gt;"")*1)),"")</f>
        <v>0</v>
      </c>
      <c r="N14" s="53">
        <f>IFERROR((SUMPRODUCT((LEFT('KRA C - Convergence &amp; Saturati'!$E$5:$E$12,1)="↑")*(('KRA C - Convergence &amp; Saturati'!$R$5:$R$12&lt;&gt;"")*1)*IFERROR('KRA C - Convergence &amp; Saturati'!$R$5:$R$12/IF('KRA C - Convergence &amp; Saturati'!$D$5:$D$12=0,1,'KRA C - Convergence &amp; Saturati'!$D$5:$D$12),0))+SUMPRODUCT((LEFT('KRA C - Convergence &amp; Saturati'!$E$5:$E$12,1)="↓")*(('KRA C - Convergence &amp; Saturati'!$R$5:$R$12&lt;&gt;"")*1)*IFERROR('KRA C - Convergence &amp; Saturati'!$D$5:$D$12/IF('KRA C - Convergence &amp; Saturati'!$R$5:$R$12=0,0.0001,'KRA C - Convergence &amp; Saturati'!$R$5:$R$12),0)))/MAX(1,SUMPRODUCT(('KRA C - Convergence &amp; Saturati'!$R$5:$R$12&lt;&gt;"")*1)),"")</f>
        <v>0</v>
      </c>
    </row>
    <row r="15" spans="1:14" ht="25.5" customHeight="1">
      <c r="A15" s="16" t="s">
        <v>98</v>
      </c>
      <c r="B15" s="17" t="s">
        <v>99</v>
      </c>
      <c r="C15" s="53">
        <f>IFERROR((SUMPRODUCT((LEFT('KRA R - Revenue, Land &amp; Citize'!$E$5:$E$9,1)="↑")*(('KRA R - Revenue, Land &amp; Citize'!$G$5:$G$9&lt;&gt;"")*1)*IFERROR('KRA R - Revenue, Land &amp; Citize'!$G$5:$G$9/IF('KRA R - Revenue, Land &amp; Citize'!$D$5:$D$9=0,1,'KRA R - Revenue, Land &amp; Citize'!$D$5:$D$9),0))+SUMPRODUCT((LEFT('KRA R - Revenue, Land &amp; Citize'!$E$5:$E$9,1)="↓")*(('KRA R - Revenue, Land &amp; Citize'!$G$5:$G$9&lt;&gt;"")*1)*IFERROR('KRA R - Revenue, Land &amp; Citize'!$D$5:$D$9/IF('KRA R - Revenue, Land &amp; Citize'!$G$5:$G$9=0,0.0001,'KRA R - Revenue, Land &amp; Citize'!$G$5:$G$9),0)))/MAX(1,SUMPRODUCT(('KRA R - Revenue, Land &amp; Citize'!$G$5:$G$9&lt;&gt;"")*1)),"")</f>
        <v>0</v>
      </c>
      <c r="D15" s="53">
        <f>IFERROR((SUMPRODUCT((LEFT('KRA R - Revenue, Land &amp; Citize'!$E$5:$E$9,1)="↑")*(('KRA R - Revenue, Land &amp; Citize'!$H$5:$H$9&lt;&gt;"")*1)*IFERROR('KRA R - Revenue, Land &amp; Citize'!$H$5:$H$9/IF('KRA R - Revenue, Land &amp; Citize'!$D$5:$D$9=0,1,'KRA R - Revenue, Land &amp; Citize'!$D$5:$D$9),0))+SUMPRODUCT((LEFT('KRA R - Revenue, Land &amp; Citize'!$E$5:$E$9,1)="↓")*(('KRA R - Revenue, Land &amp; Citize'!$H$5:$H$9&lt;&gt;"")*1)*IFERROR('KRA R - Revenue, Land &amp; Citize'!$D$5:$D$9/IF('KRA R - Revenue, Land &amp; Citize'!$H$5:$H$9=0,0.0001,'KRA R - Revenue, Land &amp; Citize'!$H$5:$H$9),0)))/MAX(1,SUMPRODUCT(('KRA R - Revenue, Land &amp; Citize'!$H$5:$H$9&lt;&gt;"")*1)),"")</f>
        <v>0</v>
      </c>
      <c r="E15" s="53">
        <f>IFERROR((SUMPRODUCT((LEFT('KRA R - Revenue, Land &amp; Citize'!$E$5:$E$9,1)="↑")*(('KRA R - Revenue, Land &amp; Citize'!$I$5:$I$9&lt;&gt;"")*1)*IFERROR('KRA R - Revenue, Land &amp; Citize'!$I$5:$I$9/IF('KRA R - Revenue, Land &amp; Citize'!$D$5:$D$9=0,1,'KRA R - Revenue, Land &amp; Citize'!$D$5:$D$9),0))+SUMPRODUCT((LEFT('KRA R - Revenue, Land &amp; Citize'!$E$5:$E$9,1)="↓")*(('KRA R - Revenue, Land &amp; Citize'!$I$5:$I$9&lt;&gt;"")*1)*IFERROR('KRA R - Revenue, Land &amp; Citize'!$D$5:$D$9/IF('KRA R - Revenue, Land &amp; Citize'!$I$5:$I$9=0,0.0001,'KRA R - Revenue, Land &amp; Citize'!$I$5:$I$9),0)))/MAX(1,SUMPRODUCT(('KRA R - Revenue, Land &amp; Citize'!$I$5:$I$9&lt;&gt;"")*1)),"")</f>
        <v>0</v>
      </c>
      <c r="F15" s="53">
        <f>IFERROR((SUMPRODUCT((LEFT('KRA R - Revenue, Land &amp; Citize'!$E$5:$E$9,1)="↑")*(('KRA R - Revenue, Land &amp; Citize'!$J$5:$J$9&lt;&gt;"")*1)*IFERROR('KRA R - Revenue, Land &amp; Citize'!$J$5:$J$9/IF('KRA R - Revenue, Land &amp; Citize'!$D$5:$D$9=0,1,'KRA R - Revenue, Land &amp; Citize'!$D$5:$D$9),0))+SUMPRODUCT((LEFT('KRA R - Revenue, Land &amp; Citize'!$E$5:$E$9,1)="↓")*(('KRA R - Revenue, Land &amp; Citize'!$J$5:$J$9&lt;&gt;"")*1)*IFERROR('KRA R - Revenue, Land &amp; Citize'!$D$5:$D$9/IF('KRA R - Revenue, Land &amp; Citize'!$J$5:$J$9=0,0.0001,'KRA R - Revenue, Land &amp; Citize'!$J$5:$J$9),0)))/MAX(1,SUMPRODUCT(('KRA R - Revenue, Land &amp; Citize'!$J$5:$J$9&lt;&gt;"")*1)),"")</f>
        <v>0</v>
      </c>
      <c r="G15" s="53">
        <f>IFERROR((SUMPRODUCT((LEFT('KRA R - Revenue, Land &amp; Citize'!$E$5:$E$9,1)="↑")*(('KRA R - Revenue, Land &amp; Citize'!$K$5:$K$9&lt;&gt;"")*1)*IFERROR('KRA R - Revenue, Land &amp; Citize'!$K$5:$K$9/IF('KRA R - Revenue, Land &amp; Citize'!$D$5:$D$9=0,1,'KRA R - Revenue, Land &amp; Citize'!$D$5:$D$9),0))+SUMPRODUCT((LEFT('KRA R - Revenue, Land &amp; Citize'!$E$5:$E$9,1)="↓")*(('KRA R - Revenue, Land &amp; Citize'!$K$5:$K$9&lt;&gt;"")*1)*IFERROR('KRA R - Revenue, Land &amp; Citize'!$D$5:$D$9/IF('KRA R - Revenue, Land &amp; Citize'!$K$5:$K$9=0,0.0001,'KRA R - Revenue, Land &amp; Citize'!$K$5:$K$9),0)))/MAX(1,SUMPRODUCT(('KRA R - Revenue, Land &amp; Citize'!$K$5:$K$9&lt;&gt;"")*1)),"")</f>
        <v>0</v>
      </c>
      <c r="H15" s="53">
        <f>IFERROR((SUMPRODUCT((LEFT('KRA R - Revenue, Land &amp; Citize'!$E$5:$E$9,1)="↑")*(('KRA R - Revenue, Land &amp; Citize'!$L$5:$L$9&lt;&gt;"")*1)*IFERROR('KRA R - Revenue, Land &amp; Citize'!$L$5:$L$9/IF('KRA R - Revenue, Land &amp; Citize'!$D$5:$D$9=0,1,'KRA R - Revenue, Land &amp; Citize'!$D$5:$D$9),0))+SUMPRODUCT((LEFT('KRA R - Revenue, Land &amp; Citize'!$E$5:$E$9,1)="↓")*(('KRA R - Revenue, Land &amp; Citize'!$L$5:$L$9&lt;&gt;"")*1)*IFERROR('KRA R - Revenue, Land &amp; Citize'!$D$5:$D$9/IF('KRA R - Revenue, Land &amp; Citize'!$L$5:$L$9=0,0.0001,'KRA R - Revenue, Land &amp; Citize'!$L$5:$L$9),0)))/MAX(1,SUMPRODUCT(('KRA R - Revenue, Land &amp; Citize'!$L$5:$L$9&lt;&gt;"")*1)),"")</f>
        <v>0</v>
      </c>
      <c r="I15" s="53">
        <f>IFERROR((SUMPRODUCT((LEFT('KRA R - Revenue, Land &amp; Citize'!$E$5:$E$9,1)="↑")*(('KRA R - Revenue, Land &amp; Citize'!$M$5:$M$9&lt;&gt;"")*1)*IFERROR('KRA R - Revenue, Land &amp; Citize'!$M$5:$M$9/IF('KRA R - Revenue, Land &amp; Citize'!$D$5:$D$9=0,1,'KRA R - Revenue, Land &amp; Citize'!$D$5:$D$9),0))+SUMPRODUCT((LEFT('KRA R - Revenue, Land &amp; Citize'!$E$5:$E$9,1)="↓")*(('KRA R - Revenue, Land &amp; Citize'!$M$5:$M$9&lt;&gt;"")*1)*IFERROR('KRA R - Revenue, Land &amp; Citize'!$D$5:$D$9/IF('KRA R - Revenue, Land &amp; Citize'!$M$5:$M$9=0,0.0001,'KRA R - Revenue, Land &amp; Citize'!$M$5:$M$9),0)))/MAX(1,SUMPRODUCT(('KRA R - Revenue, Land &amp; Citize'!$M$5:$M$9&lt;&gt;"")*1)),"")</f>
        <v>0</v>
      </c>
      <c r="J15" s="53">
        <f>IFERROR((SUMPRODUCT((LEFT('KRA R - Revenue, Land &amp; Citize'!$E$5:$E$9,1)="↑")*(('KRA R - Revenue, Land &amp; Citize'!$N$5:$N$9&lt;&gt;"")*1)*IFERROR('KRA R - Revenue, Land &amp; Citize'!$N$5:$N$9/IF('KRA R - Revenue, Land &amp; Citize'!$D$5:$D$9=0,1,'KRA R - Revenue, Land &amp; Citize'!$D$5:$D$9),0))+SUMPRODUCT((LEFT('KRA R - Revenue, Land &amp; Citize'!$E$5:$E$9,1)="↓")*(('KRA R - Revenue, Land &amp; Citize'!$N$5:$N$9&lt;&gt;"")*1)*IFERROR('KRA R - Revenue, Land &amp; Citize'!$D$5:$D$9/IF('KRA R - Revenue, Land &amp; Citize'!$N$5:$N$9=0,0.0001,'KRA R - Revenue, Land &amp; Citize'!$N$5:$N$9),0)))/MAX(1,SUMPRODUCT(('KRA R - Revenue, Land &amp; Citize'!$N$5:$N$9&lt;&gt;"")*1)),"")</f>
        <v>0</v>
      </c>
      <c r="K15" s="53">
        <f>IFERROR((SUMPRODUCT((LEFT('KRA R - Revenue, Land &amp; Citize'!$E$5:$E$9,1)="↑")*(('KRA R - Revenue, Land &amp; Citize'!$O$5:$O$9&lt;&gt;"")*1)*IFERROR('KRA R - Revenue, Land &amp; Citize'!$O$5:$O$9/IF('KRA R - Revenue, Land &amp; Citize'!$D$5:$D$9=0,1,'KRA R - Revenue, Land &amp; Citize'!$D$5:$D$9),0))+SUMPRODUCT((LEFT('KRA R - Revenue, Land &amp; Citize'!$E$5:$E$9,1)="↓")*(('KRA R - Revenue, Land &amp; Citize'!$O$5:$O$9&lt;&gt;"")*1)*IFERROR('KRA R - Revenue, Land &amp; Citize'!$D$5:$D$9/IF('KRA R - Revenue, Land &amp; Citize'!$O$5:$O$9=0,0.0001,'KRA R - Revenue, Land &amp; Citize'!$O$5:$O$9),0)))/MAX(1,SUMPRODUCT(('KRA R - Revenue, Land &amp; Citize'!$O$5:$O$9&lt;&gt;"")*1)),"")</f>
        <v>0</v>
      </c>
      <c r="L15" s="53">
        <f>IFERROR((SUMPRODUCT((LEFT('KRA R - Revenue, Land &amp; Citize'!$E$5:$E$9,1)="↑")*(('KRA R - Revenue, Land &amp; Citize'!$P$5:$P$9&lt;&gt;"")*1)*IFERROR('KRA R - Revenue, Land &amp; Citize'!$P$5:$P$9/IF('KRA R - Revenue, Land &amp; Citize'!$D$5:$D$9=0,1,'KRA R - Revenue, Land &amp; Citize'!$D$5:$D$9),0))+SUMPRODUCT((LEFT('KRA R - Revenue, Land &amp; Citize'!$E$5:$E$9,1)="↓")*(('KRA R - Revenue, Land &amp; Citize'!$P$5:$P$9&lt;&gt;"")*1)*IFERROR('KRA R - Revenue, Land &amp; Citize'!$D$5:$D$9/IF('KRA R - Revenue, Land &amp; Citize'!$P$5:$P$9=0,0.0001,'KRA R - Revenue, Land &amp; Citize'!$P$5:$P$9),0)))/MAX(1,SUMPRODUCT(('KRA R - Revenue, Land &amp; Citize'!$P$5:$P$9&lt;&gt;"")*1)),"")</f>
        <v>0</v>
      </c>
      <c r="M15" s="53">
        <f>IFERROR((SUMPRODUCT((LEFT('KRA R - Revenue, Land &amp; Citize'!$E$5:$E$9,1)="↑")*(('KRA R - Revenue, Land &amp; Citize'!$Q$5:$Q$9&lt;&gt;"")*1)*IFERROR('KRA R - Revenue, Land &amp; Citize'!$Q$5:$Q$9/IF('KRA R - Revenue, Land &amp; Citize'!$D$5:$D$9=0,1,'KRA R - Revenue, Land &amp; Citize'!$D$5:$D$9),0))+SUMPRODUCT((LEFT('KRA R - Revenue, Land &amp; Citize'!$E$5:$E$9,1)="↓")*(('KRA R - Revenue, Land &amp; Citize'!$Q$5:$Q$9&lt;&gt;"")*1)*IFERROR('KRA R - Revenue, Land &amp; Citize'!$D$5:$D$9/IF('KRA R - Revenue, Land &amp; Citize'!$Q$5:$Q$9=0,0.0001,'KRA R - Revenue, Land &amp; Citize'!$Q$5:$Q$9),0)))/MAX(1,SUMPRODUCT(('KRA R - Revenue, Land &amp; Citize'!$Q$5:$Q$9&lt;&gt;"")*1)),"")</f>
        <v>0</v>
      </c>
      <c r="N15" s="53">
        <f>IFERROR((SUMPRODUCT((LEFT('KRA R - Revenue, Land &amp; Citize'!$E$5:$E$9,1)="↑")*(('KRA R - Revenue, Land &amp; Citize'!$R$5:$R$9&lt;&gt;"")*1)*IFERROR('KRA R - Revenue, Land &amp; Citize'!$R$5:$R$9/IF('KRA R - Revenue, Land &amp; Citize'!$D$5:$D$9=0,1,'KRA R - Revenue, Land &amp; Citize'!$D$5:$D$9),0))+SUMPRODUCT((LEFT('KRA R - Revenue, Land &amp; Citize'!$E$5:$E$9,1)="↓")*(('KRA R - Revenue, Land &amp; Citize'!$R$5:$R$9&lt;&gt;"")*1)*IFERROR('KRA R - Revenue, Land &amp; Citize'!$D$5:$D$9/IF('KRA R - Revenue, Land &amp; Citize'!$R$5:$R$9=0,0.0001,'KRA R - Revenue, Land &amp; Citize'!$R$5:$R$9),0)))/MAX(1,SUMPRODUCT(('KRA R - Revenue, Land &amp; Citize'!$R$5:$R$9&lt;&gt;"")*1)),"")</f>
        <v>0</v>
      </c>
    </row>
    <row r="16" spans="1:14" ht="25.5" customHeight="1">
      <c r="A16" s="16" t="s">
        <v>100</v>
      </c>
      <c r="B16" s="17" t="s">
        <v>101</v>
      </c>
      <c r="C16" s="53">
        <f>IFERROR((SUMPRODUCT((LEFT('KRA J - Jan Suvidha Branch'!$E$5:$E$16,1)="↑")*(('KRA J - Jan Suvidha Branch'!$G$5:$G$16&lt;&gt;"")*1)*IFERROR('KRA J - Jan Suvidha Branch'!$G$5:$G$16/IF('KRA J - Jan Suvidha Branch'!$D$5:$D$16=0,1,'KRA J - Jan Suvidha Branch'!$D$5:$D$16),0))+SUMPRODUCT((LEFT('KRA J - Jan Suvidha Branch'!$E$5:$E$16,1)="↓")*(('KRA J - Jan Suvidha Branch'!$G$5:$G$16&lt;&gt;"")*1)*IFERROR('KRA J - Jan Suvidha Branch'!$D$5:$D$16/IF('KRA J - Jan Suvidha Branch'!$G$5:$G$16=0,0.0001,'KRA J - Jan Suvidha Branch'!$G$5:$G$16),0)))/MAX(1,SUMPRODUCT(('KRA J - Jan Suvidha Branch'!$G$5:$G$16&lt;&gt;"")*1)),"")</f>
        <v>0</v>
      </c>
      <c r="D16" s="53">
        <f>IFERROR((SUMPRODUCT((LEFT('KRA J - Jan Suvidha Branch'!$E$5:$E$16,1)="↑")*(('KRA J - Jan Suvidha Branch'!$H$5:$H$16&lt;&gt;"")*1)*IFERROR('KRA J - Jan Suvidha Branch'!$H$5:$H$16/IF('KRA J - Jan Suvidha Branch'!$D$5:$D$16=0,1,'KRA J - Jan Suvidha Branch'!$D$5:$D$16),0))+SUMPRODUCT((LEFT('KRA J - Jan Suvidha Branch'!$E$5:$E$16,1)="↓")*(('KRA J - Jan Suvidha Branch'!$H$5:$H$16&lt;&gt;"")*1)*IFERROR('KRA J - Jan Suvidha Branch'!$D$5:$D$16/IF('KRA J - Jan Suvidha Branch'!$H$5:$H$16=0,0.0001,'KRA J - Jan Suvidha Branch'!$H$5:$H$16),0)))/MAX(1,SUMPRODUCT(('KRA J - Jan Suvidha Branch'!$H$5:$H$16&lt;&gt;"")*1)),"")</f>
        <v>0</v>
      </c>
      <c r="E16" s="53">
        <f>IFERROR((SUMPRODUCT((LEFT('KRA J - Jan Suvidha Branch'!$E$5:$E$16,1)="↑")*(('KRA J - Jan Suvidha Branch'!$I$5:$I$16&lt;&gt;"")*1)*IFERROR('KRA J - Jan Suvidha Branch'!$I$5:$I$16/IF('KRA J - Jan Suvidha Branch'!$D$5:$D$16=0,1,'KRA J - Jan Suvidha Branch'!$D$5:$D$16),0))+SUMPRODUCT((LEFT('KRA J - Jan Suvidha Branch'!$E$5:$E$16,1)="↓")*(('KRA J - Jan Suvidha Branch'!$I$5:$I$16&lt;&gt;"")*1)*IFERROR('KRA J - Jan Suvidha Branch'!$D$5:$D$16/IF('KRA J - Jan Suvidha Branch'!$I$5:$I$16=0,0.0001,'KRA J - Jan Suvidha Branch'!$I$5:$I$16),0)))/MAX(1,SUMPRODUCT(('KRA J - Jan Suvidha Branch'!$I$5:$I$16&lt;&gt;"")*1)),"")</f>
        <v>0</v>
      </c>
      <c r="F16" s="53">
        <f>IFERROR((SUMPRODUCT((LEFT('KRA J - Jan Suvidha Branch'!$E$5:$E$16,1)="↑")*(('KRA J - Jan Suvidha Branch'!$J$5:$J$16&lt;&gt;"")*1)*IFERROR('KRA J - Jan Suvidha Branch'!$J$5:$J$16/IF('KRA J - Jan Suvidha Branch'!$D$5:$D$16=0,1,'KRA J - Jan Suvidha Branch'!$D$5:$D$16),0))+SUMPRODUCT((LEFT('KRA J - Jan Suvidha Branch'!$E$5:$E$16,1)="↓")*(('KRA J - Jan Suvidha Branch'!$J$5:$J$16&lt;&gt;"")*1)*IFERROR('KRA J - Jan Suvidha Branch'!$D$5:$D$16/IF('KRA J - Jan Suvidha Branch'!$J$5:$J$16=0,0.0001,'KRA J - Jan Suvidha Branch'!$J$5:$J$16),0)))/MAX(1,SUMPRODUCT(('KRA J - Jan Suvidha Branch'!$J$5:$J$16&lt;&gt;"")*1)),"")</f>
        <v>0</v>
      </c>
      <c r="G16" s="53">
        <f>IFERROR((SUMPRODUCT((LEFT('KRA J - Jan Suvidha Branch'!$E$5:$E$16,1)="↑")*(('KRA J - Jan Suvidha Branch'!$K$5:$K$16&lt;&gt;"")*1)*IFERROR('KRA J - Jan Suvidha Branch'!$K$5:$K$16/IF('KRA J - Jan Suvidha Branch'!$D$5:$D$16=0,1,'KRA J - Jan Suvidha Branch'!$D$5:$D$16),0))+SUMPRODUCT((LEFT('KRA J - Jan Suvidha Branch'!$E$5:$E$16,1)="↓")*(('KRA J - Jan Suvidha Branch'!$K$5:$K$16&lt;&gt;"")*1)*IFERROR('KRA J - Jan Suvidha Branch'!$D$5:$D$16/IF('KRA J - Jan Suvidha Branch'!$K$5:$K$16=0,0.0001,'KRA J - Jan Suvidha Branch'!$K$5:$K$16),0)))/MAX(1,SUMPRODUCT(('KRA J - Jan Suvidha Branch'!$K$5:$K$16&lt;&gt;"")*1)),"")</f>
        <v>0</v>
      </c>
      <c r="H16" s="53">
        <f>IFERROR((SUMPRODUCT((LEFT('KRA J - Jan Suvidha Branch'!$E$5:$E$16,1)="↑")*(('KRA J - Jan Suvidha Branch'!$L$5:$L$16&lt;&gt;"")*1)*IFERROR('KRA J - Jan Suvidha Branch'!$L$5:$L$16/IF('KRA J - Jan Suvidha Branch'!$D$5:$D$16=0,1,'KRA J - Jan Suvidha Branch'!$D$5:$D$16),0))+SUMPRODUCT((LEFT('KRA J - Jan Suvidha Branch'!$E$5:$E$16,1)="↓")*(('KRA J - Jan Suvidha Branch'!$L$5:$L$16&lt;&gt;"")*1)*IFERROR('KRA J - Jan Suvidha Branch'!$D$5:$D$16/IF('KRA J - Jan Suvidha Branch'!$L$5:$L$16=0,0.0001,'KRA J - Jan Suvidha Branch'!$L$5:$L$16),0)))/MAX(1,SUMPRODUCT(('KRA J - Jan Suvidha Branch'!$L$5:$L$16&lt;&gt;"")*1)),"")</f>
        <v>0</v>
      </c>
      <c r="I16" s="53">
        <f>IFERROR((SUMPRODUCT((LEFT('KRA J - Jan Suvidha Branch'!$E$5:$E$16,1)="↑")*(('KRA J - Jan Suvidha Branch'!$M$5:$M$16&lt;&gt;"")*1)*IFERROR('KRA J - Jan Suvidha Branch'!$M$5:$M$16/IF('KRA J - Jan Suvidha Branch'!$D$5:$D$16=0,1,'KRA J - Jan Suvidha Branch'!$D$5:$D$16),0))+SUMPRODUCT((LEFT('KRA J - Jan Suvidha Branch'!$E$5:$E$16,1)="↓")*(('KRA J - Jan Suvidha Branch'!$M$5:$M$16&lt;&gt;"")*1)*IFERROR('KRA J - Jan Suvidha Branch'!$D$5:$D$16/IF('KRA J - Jan Suvidha Branch'!$M$5:$M$16=0,0.0001,'KRA J - Jan Suvidha Branch'!$M$5:$M$16),0)))/MAX(1,SUMPRODUCT(('KRA J - Jan Suvidha Branch'!$M$5:$M$16&lt;&gt;"")*1)),"")</f>
        <v>0</v>
      </c>
      <c r="J16" s="53">
        <f>IFERROR((SUMPRODUCT((LEFT('KRA J - Jan Suvidha Branch'!$E$5:$E$16,1)="↑")*(('KRA J - Jan Suvidha Branch'!$N$5:$N$16&lt;&gt;"")*1)*IFERROR('KRA J - Jan Suvidha Branch'!$N$5:$N$16/IF('KRA J - Jan Suvidha Branch'!$D$5:$D$16=0,1,'KRA J - Jan Suvidha Branch'!$D$5:$D$16),0))+SUMPRODUCT((LEFT('KRA J - Jan Suvidha Branch'!$E$5:$E$16,1)="↓")*(('KRA J - Jan Suvidha Branch'!$N$5:$N$16&lt;&gt;"")*1)*IFERROR('KRA J - Jan Suvidha Branch'!$D$5:$D$16/IF('KRA J - Jan Suvidha Branch'!$N$5:$N$16=0,0.0001,'KRA J - Jan Suvidha Branch'!$N$5:$N$16),0)))/MAX(1,SUMPRODUCT(('KRA J - Jan Suvidha Branch'!$N$5:$N$16&lt;&gt;"")*1)),"")</f>
        <v>0</v>
      </c>
      <c r="K16" s="53">
        <f>IFERROR((SUMPRODUCT((LEFT('KRA J - Jan Suvidha Branch'!$E$5:$E$16,1)="↑")*(('KRA J - Jan Suvidha Branch'!$O$5:$O$16&lt;&gt;"")*1)*IFERROR('KRA J - Jan Suvidha Branch'!$O$5:$O$16/IF('KRA J - Jan Suvidha Branch'!$D$5:$D$16=0,1,'KRA J - Jan Suvidha Branch'!$D$5:$D$16),0))+SUMPRODUCT((LEFT('KRA J - Jan Suvidha Branch'!$E$5:$E$16,1)="↓")*(('KRA J - Jan Suvidha Branch'!$O$5:$O$16&lt;&gt;"")*1)*IFERROR('KRA J - Jan Suvidha Branch'!$D$5:$D$16/IF('KRA J - Jan Suvidha Branch'!$O$5:$O$16=0,0.0001,'KRA J - Jan Suvidha Branch'!$O$5:$O$16),0)))/MAX(1,SUMPRODUCT(('KRA J - Jan Suvidha Branch'!$O$5:$O$16&lt;&gt;"")*1)),"")</f>
        <v>0</v>
      </c>
      <c r="L16" s="53">
        <f>IFERROR((SUMPRODUCT((LEFT('KRA J - Jan Suvidha Branch'!$E$5:$E$16,1)="↑")*(('KRA J - Jan Suvidha Branch'!$P$5:$P$16&lt;&gt;"")*1)*IFERROR('KRA J - Jan Suvidha Branch'!$P$5:$P$16/IF('KRA J - Jan Suvidha Branch'!$D$5:$D$16=0,1,'KRA J - Jan Suvidha Branch'!$D$5:$D$16),0))+SUMPRODUCT((LEFT('KRA J - Jan Suvidha Branch'!$E$5:$E$16,1)="↓")*(('KRA J - Jan Suvidha Branch'!$P$5:$P$16&lt;&gt;"")*1)*IFERROR('KRA J - Jan Suvidha Branch'!$D$5:$D$16/IF('KRA J - Jan Suvidha Branch'!$P$5:$P$16=0,0.0001,'KRA J - Jan Suvidha Branch'!$P$5:$P$16),0)))/MAX(1,SUMPRODUCT(('KRA J - Jan Suvidha Branch'!$P$5:$P$16&lt;&gt;"")*1)),"")</f>
        <v>0</v>
      </c>
      <c r="M16" s="53">
        <f>IFERROR((SUMPRODUCT((LEFT('KRA J - Jan Suvidha Branch'!$E$5:$E$16,1)="↑")*(('KRA J - Jan Suvidha Branch'!$Q$5:$Q$16&lt;&gt;"")*1)*IFERROR('KRA J - Jan Suvidha Branch'!$Q$5:$Q$16/IF('KRA J - Jan Suvidha Branch'!$D$5:$D$16=0,1,'KRA J - Jan Suvidha Branch'!$D$5:$D$16),0))+SUMPRODUCT((LEFT('KRA J - Jan Suvidha Branch'!$E$5:$E$16,1)="↓")*(('KRA J - Jan Suvidha Branch'!$Q$5:$Q$16&lt;&gt;"")*1)*IFERROR('KRA J - Jan Suvidha Branch'!$D$5:$D$16/IF('KRA J - Jan Suvidha Branch'!$Q$5:$Q$16=0,0.0001,'KRA J - Jan Suvidha Branch'!$Q$5:$Q$16),0)))/MAX(1,SUMPRODUCT(('KRA J - Jan Suvidha Branch'!$Q$5:$Q$16&lt;&gt;"")*1)),"")</f>
        <v>0</v>
      </c>
      <c r="N16" s="53">
        <f>IFERROR((SUMPRODUCT((LEFT('KRA J - Jan Suvidha Branch'!$E$5:$E$16,1)="↑")*(('KRA J - Jan Suvidha Branch'!$R$5:$R$16&lt;&gt;"")*1)*IFERROR('KRA J - Jan Suvidha Branch'!$R$5:$R$16/IF('KRA J - Jan Suvidha Branch'!$D$5:$D$16=0,1,'KRA J - Jan Suvidha Branch'!$D$5:$D$16),0))+SUMPRODUCT((LEFT('KRA J - Jan Suvidha Branch'!$E$5:$E$16,1)="↓")*(('KRA J - Jan Suvidha Branch'!$R$5:$R$16&lt;&gt;"")*1)*IFERROR('KRA J - Jan Suvidha Branch'!$D$5:$D$16/IF('KRA J - Jan Suvidha Branch'!$R$5:$R$16=0,0.0001,'KRA J - Jan Suvidha Branch'!$R$5:$R$16),0)))/MAX(1,SUMPRODUCT(('KRA J - Jan Suvidha Branch'!$R$5:$R$16&lt;&gt;"")*1)),"")</f>
        <v>0</v>
      </c>
    </row>
    <row r="17" spans="1:14" ht="15" customHeight="1">
      <c r="A17" s="16" t="s">
        <v>102</v>
      </c>
      <c r="B17" s="17" t="s">
        <v>103</v>
      </c>
      <c r="C17" s="53">
        <f>IFERROR((SUMPRODUCT((LEFT('KRA M - Disaster Management &amp; '!$E$5:$E$10,1)="↑")*(('KRA M - Disaster Management &amp; '!$G$5:$G$10&lt;&gt;"")*1)*IFERROR('KRA M - Disaster Management &amp; '!$G$5:$G$10/IF('KRA M - Disaster Management &amp; '!$D$5:$D$10=0,1,'KRA M - Disaster Management &amp; '!$D$5:$D$10),0))+SUMPRODUCT((LEFT('KRA M - Disaster Management &amp; '!$E$5:$E$10,1)="↓")*(('KRA M - Disaster Management &amp; '!$G$5:$G$10&lt;&gt;"")*1)*IFERROR('KRA M - Disaster Management &amp; '!$D$5:$D$10/IF('KRA M - Disaster Management &amp; '!$G$5:$G$10=0,0.0001,'KRA M - Disaster Management &amp; '!$G$5:$G$10),0)))/MAX(1,SUMPRODUCT(('KRA M - Disaster Management &amp; '!$G$5:$G$10&lt;&gt;"")*1)),"")</f>
        <v>0</v>
      </c>
      <c r="D17" s="53">
        <f>IFERROR((SUMPRODUCT((LEFT('KRA M - Disaster Management &amp; '!$E$5:$E$10,1)="↑")*(('KRA M - Disaster Management &amp; '!$H$5:$H$10&lt;&gt;"")*1)*IFERROR('KRA M - Disaster Management &amp; '!$H$5:$H$10/IF('KRA M - Disaster Management &amp; '!$D$5:$D$10=0,1,'KRA M - Disaster Management &amp; '!$D$5:$D$10),0))+SUMPRODUCT((LEFT('KRA M - Disaster Management &amp; '!$E$5:$E$10,1)="↓")*(('KRA M - Disaster Management &amp; '!$H$5:$H$10&lt;&gt;"")*1)*IFERROR('KRA M - Disaster Management &amp; '!$D$5:$D$10/IF('KRA M - Disaster Management &amp; '!$H$5:$H$10=0,0.0001,'KRA M - Disaster Management &amp; '!$H$5:$H$10),0)))/MAX(1,SUMPRODUCT(('KRA M - Disaster Management &amp; '!$H$5:$H$10&lt;&gt;"")*1)),"")</f>
        <v>0</v>
      </c>
      <c r="E17" s="53">
        <f>IFERROR((SUMPRODUCT((LEFT('KRA M - Disaster Management &amp; '!$E$5:$E$10,1)="↑")*(('KRA M - Disaster Management &amp; '!$I$5:$I$10&lt;&gt;"")*1)*IFERROR('KRA M - Disaster Management &amp; '!$I$5:$I$10/IF('KRA M - Disaster Management &amp; '!$D$5:$D$10=0,1,'KRA M - Disaster Management &amp; '!$D$5:$D$10),0))+SUMPRODUCT((LEFT('KRA M - Disaster Management &amp; '!$E$5:$E$10,1)="↓")*(('KRA M - Disaster Management &amp; '!$I$5:$I$10&lt;&gt;"")*1)*IFERROR('KRA M - Disaster Management &amp; '!$D$5:$D$10/IF('KRA M - Disaster Management &amp; '!$I$5:$I$10=0,0.0001,'KRA M - Disaster Management &amp; '!$I$5:$I$10),0)))/MAX(1,SUMPRODUCT(('KRA M - Disaster Management &amp; '!$I$5:$I$10&lt;&gt;"")*1)),"")</f>
        <v>0</v>
      </c>
      <c r="F17" s="53">
        <f>IFERROR((SUMPRODUCT((LEFT('KRA M - Disaster Management &amp; '!$E$5:$E$10,1)="↑")*(('KRA M - Disaster Management &amp; '!$J$5:$J$10&lt;&gt;"")*1)*IFERROR('KRA M - Disaster Management &amp; '!$J$5:$J$10/IF('KRA M - Disaster Management &amp; '!$D$5:$D$10=0,1,'KRA M - Disaster Management &amp; '!$D$5:$D$10),0))+SUMPRODUCT((LEFT('KRA M - Disaster Management &amp; '!$E$5:$E$10,1)="↓")*(('KRA M - Disaster Management &amp; '!$J$5:$J$10&lt;&gt;"")*1)*IFERROR('KRA M - Disaster Management &amp; '!$D$5:$D$10/IF('KRA M - Disaster Management &amp; '!$J$5:$J$10=0,0.0001,'KRA M - Disaster Management &amp; '!$J$5:$J$10),0)))/MAX(1,SUMPRODUCT(('KRA M - Disaster Management &amp; '!$J$5:$J$10&lt;&gt;"")*1)),"")</f>
        <v>0</v>
      </c>
      <c r="G17" s="53">
        <f>IFERROR((SUMPRODUCT((LEFT('KRA M - Disaster Management &amp; '!$E$5:$E$10,1)="↑")*(('KRA M - Disaster Management &amp; '!$K$5:$K$10&lt;&gt;"")*1)*IFERROR('KRA M - Disaster Management &amp; '!$K$5:$K$10/IF('KRA M - Disaster Management &amp; '!$D$5:$D$10=0,1,'KRA M - Disaster Management &amp; '!$D$5:$D$10),0))+SUMPRODUCT((LEFT('KRA M - Disaster Management &amp; '!$E$5:$E$10,1)="↓")*(('KRA M - Disaster Management &amp; '!$K$5:$K$10&lt;&gt;"")*1)*IFERROR('KRA M - Disaster Management &amp; '!$D$5:$D$10/IF('KRA M - Disaster Management &amp; '!$K$5:$K$10=0,0.0001,'KRA M - Disaster Management &amp; '!$K$5:$K$10),0)))/MAX(1,SUMPRODUCT(('KRA M - Disaster Management &amp; '!$K$5:$K$10&lt;&gt;"")*1)),"")</f>
        <v>0</v>
      </c>
      <c r="H17" s="53">
        <f>IFERROR((SUMPRODUCT((LEFT('KRA M - Disaster Management &amp; '!$E$5:$E$10,1)="↑")*(('KRA M - Disaster Management &amp; '!$L$5:$L$10&lt;&gt;"")*1)*IFERROR('KRA M - Disaster Management &amp; '!$L$5:$L$10/IF('KRA M - Disaster Management &amp; '!$D$5:$D$10=0,1,'KRA M - Disaster Management &amp; '!$D$5:$D$10),0))+SUMPRODUCT((LEFT('KRA M - Disaster Management &amp; '!$E$5:$E$10,1)="↓")*(('KRA M - Disaster Management &amp; '!$L$5:$L$10&lt;&gt;"")*1)*IFERROR('KRA M - Disaster Management &amp; '!$D$5:$D$10/IF('KRA M - Disaster Management &amp; '!$L$5:$L$10=0,0.0001,'KRA M - Disaster Management &amp; '!$L$5:$L$10),0)))/MAX(1,SUMPRODUCT(('KRA M - Disaster Management &amp; '!$L$5:$L$10&lt;&gt;"")*1)),"")</f>
        <v>0</v>
      </c>
      <c r="I17" s="53">
        <f>IFERROR((SUMPRODUCT((LEFT('KRA M - Disaster Management &amp; '!$E$5:$E$10,1)="↑")*(('KRA M - Disaster Management &amp; '!$M$5:$M$10&lt;&gt;"")*1)*IFERROR('KRA M - Disaster Management &amp; '!$M$5:$M$10/IF('KRA M - Disaster Management &amp; '!$D$5:$D$10=0,1,'KRA M - Disaster Management &amp; '!$D$5:$D$10),0))+SUMPRODUCT((LEFT('KRA M - Disaster Management &amp; '!$E$5:$E$10,1)="↓")*(('KRA M - Disaster Management &amp; '!$M$5:$M$10&lt;&gt;"")*1)*IFERROR('KRA M - Disaster Management &amp; '!$D$5:$D$10/IF('KRA M - Disaster Management &amp; '!$M$5:$M$10=0,0.0001,'KRA M - Disaster Management &amp; '!$M$5:$M$10),0)))/MAX(1,SUMPRODUCT(('KRA M - Disaster Management &amp; '!$M$5:$M$10&lt;&gt;"")*1)),"")</f>
        <v>0</v>
      </c>
      <c r="J17" s="53">
        <f>IFERROR((SUMPRODUCT((LEFT('KRA M - Disaster Management &amp; '!$E$5:$E$10,1)="↑")*(('KRA M - Disaster Management &amp; '!$N$5:$N$10&lt;&gt;"")*1)*IFERROR('KRA M - Disaster Management &amp; '!$N$5:$N$10/IF('KRA M - Disaster Management &amp; '!$D$5:$D$10=0,1,'KRA M - Disaster Management &amp; '!$D$5:$D$10),0))+SUMPRODUCT((LEFT('KRA M - Disaster Management &amp; '!$E$5:$E$10,1)="↓")*(('KRA M - Disaster Management &amp; '!$N$5:$N$10&lt;&gt;"")*1)*IFERROR('KRA M - Disaster Management &amp; '!$D$5:$D$10/IF('KRA M - Disaster Management &amp; '!$N$5:$N$10=0,0.0001,'KRA M - Disaster Management &amp; '!$N$5:$N$10),0)))/MAX(1,SUMPRODUCT(('KRA M - Disaster Management &amp; '!$N$5:$N$10&lt;&gt;"")*1)),"")</f>
        <v>0</v>
      </c>
      <c r="K17" s="53">
        <f>IFERROR((SUMPRODUCT((LEFT('KRA M - Disaster Management &amp; '!$E$5:$E$10,1)="↑")*(('KRA M - Disaster Management &amp; '!$O$5:$O$10&lt;&gt;"")*1)*IFERROR('KRA M - Disaster Management &amp; '!$O$5:$O$10/IF('KRA M - Disaster Management &amp; '!$D$5:$D$10=0,1,'KRA M - Disaster Management &amp; '!$D$5:$D$10),0))+SUMPRODUCT((LEFT('KRA M - Disaster Management &amp; '!$E$5:$E$10,1)="↓")*(('KRA M - Disaster Management &amp; '!$O$5:$O$10&lt;&gt;"")*1)*IFERROR('KRA M - Disaster Management &amp; '!$D$5:$D$10/IF('KRA M - Disaster Management &amp; '!$O$5:$O$10=0,0.0001,'KRA M - Disaster Management &amp; '!$O$5:$O$10),0)))/MAX(1,SUMPRODUCT(('KRA M - Disaster Management &amp; '!$O$5:$O$10&lt;&gt;"")*1)),"")</f>
        <v>0</v>
      </c>
      <c r="L17" s="53">
        <f>IFERROR((SUMPRODUCT((LEFT('KRA M - Disaster Management &amp; '!$E$5:$E$10,1)="↑")*(('KRA M - Disaster Management &amp; '!$P$5:$P$10&lt;&gt;"")*1)*IFERROR('KRA M - Disaster Management &amp; '!$P$5:$P$10/IF('KRA M - Disaster Management &amp; '!$D$5:$D$10=0,1,'KRA M - Disaster Management &amp; '!$D$5:$D$10),0))+SUMPRODUCT((LEFT('KRA M - Disaster Management &amp; '!$E$5:$E$10,1)="↓")*(('KRA M - Disaster Management &amp; '!$P$5:$P$10&lt;&gt;"")*1)*IFERROR('KRA M - Disaster Management &amp; '!$D$5:$D$10/IF('KRA M - Disaster Management &amp; '!$P$5:$P$10=0,0.0001,'KRA M - Disaster Management &amp; '!$P$5:$P$10),0)))/MAX(1,SUMPRODUCT(('KRA M - Disaster Management &amp; '!$P$5:$P$10&lt;&gt;"")*1)),"")</f>
        <v>0</v>
      </c>
      <c r="M17" s="53">
        <f>IFERROR((SUMPRODUCT((LEFT('KRA M - Disaster Management &amp; '!$E$5:$E$10,1)="↑")*(('KRA M - Disaster Management &amp; '!$Q$5:$Q$10&lt;&gt;"")*1)*IFERROR('KRA M - Disaster Management &amp; '!$Q$5:$Q$10/IF('KRA M - Disaster Management &amp; '!$D$5:$D$10=0,1,'KRA M - Disaster Management &amp; '!$D$5:$D$10),0))+SUMPRODUCT((LEFT('KRA M - Disaster Management &amp; '!$E$5:$E$10,1)="↓")*(('KRA M - Disaster Management &amp; '!$Q$5:$Q$10&lt;&gt;"")*1)*IFERROR('KRA M - Disaster Management &amp; '!$D$5:$D$10/IF('KRA M - Disaster Management &amp; '!$Q$5:$Q$10=0,0.0001,'KRA M - Disaster Management &amp; '!$Q$5:$Q$10),0)))/MAX(1,SUMPRODUCT(('KRA M - Disaster Management &amp; '!$Q$5:$Q$10&lt;&gt;"")*1)),"")</f>
        <v>0</v>
      </c>
      <c r="N17" s="53">
        <f>IFERROR((SUMPRODUCT((LEFT('KRA M - Disaster Management &amp; '!$E$5:$E$10,1)="↑")*(('KRA M - Disaster Management &amp; '!$R$5:$R$10&lt;&gt;"")*1)*IFERROR('KRA M - Disaster Management &amp; '!$R$5:$R$10/IF('KRA M - Disaster Management &amp; '!$D$5:$D$10=0,1,'KRA M - Disaster Management &amp; '!$D$5:$D$10),0))+SUMPRODUCT((LEFT('KRA M - Disaster Management &amp; '!$E$5:$E$10,1)="↓")*(('KRA M - Disaster Management &amp; '!$R$5:$R$10&lt;&gt;"")*1)*IFERROR('KRA M - Disaster Management &amp; '!$D$5:$D$10/IF('KRA M - Disaster Management &amp; '!$R$5:$R$10=0,0.0001,'KRA M - Disaster Management &amp; '!$R$5:$R$10),0)))/MAX(1,SUMPRODUCT(('KRA M - Disaster Management &amp; '!$R$5:$R$10&lt;&gt;"")*1)),"")</f>
        <v>0</v>
      </c>
    </row>
    <row r="18" spans="1:14" ht="15" customHeight="1">
      <c r="A18" s="16" t="s">
        <v>104</v>
      </c>
      <c r="B18" s="17" t="s">
        <v>105</v>
      </c>
      <c r="C18" s="53">
        <f>IFERROR((SUMPRODUCT((LEFT('KRA P - Process, People &amp; Citi'!$E$5:$E$14,1)="↑")*(('KRA P - Process, People &amp; Citi'!$G$5:$G$14&lt;&gt;"")*1)*IFERROR('KRA P - Process, People &amp; Citi'!$G$5:$G$14/IF('KRA P - Process, People &amp; Citi'!$D$5:$D$14=0,1,'KRA P - Process, People &amp; Citi'!$D$5:$D$14),0))+SUMPRODUCT((LEFT('KRA P - Process, People &amp; Citi'!$E$5:$E$14,1)="↓")*(('KRA P - Process, People &amp; Citi'!$G$5:$G$14&lt;&gt;"")*1)*IFERROR('KRA P - Process, People &amp; Citi'!$D$5:$D$14/IF('KRA P - Process, People &amp; Citi'!$G$5:$G$14=0,0.0001,'KRA P - Process, People &amp; Citi'!$G$5:$G$14),0)))/MAX(1,SUMPRODUCT(('KRA P - Process, People &amp; Citi'!$G$5:$G$14&lt;&gt;"")*1)),"")</f>
        <v>0</v>
      </c>
      <c r="D18" s="53">
        <f>IFERROR((SUMPRODUCT((LEFT('KRA P - Process, People &amp; Citi'!$E$5:$E$14,1)="↑")*(('KRA P - Process, People &amp; Citi'!$H$5:$H$14&lt;&gt;"")*1)*IFERROR('KRA P - Process, People &amp; Citi'!$H$5:$H$14/IF('KRA P - Process, People &amp; Citi'!$D$5:$D$14=0,1,'KRA P - Process, People &amp; Citi'!$D$5:$D$14),0))+SUMPRODUCT((LEFT('KRA P - Process, People &amp; Citi'!$E$5:$E$14,1)="↓")*(('KRA P - Process, People &amp; Citi'!$H$5:$H$14&lt;&gt;"")*1)*IFERROR('KRA P - Process, People &amp; Citi'!$D$5:$D$14/IF('KRA P - Process, People &amp; Citi'!$H$5:$H$14=0,0.0001,'KRA P - Process, People &amp; Citi'!$H$5:$H$14),0)))/MAX(1,SUMPRODUCT(('KRA P - Process, People &amp; Citi'!$H$5:$H$14&lt;&gt;"")*1)),"")</f>
        <v>0</v>
      </c>
      <c r="E18" s="53">
        <f>IFERROR((SUMPRODUCT((LEFT('KRA P - Process, People &amp; Citi'!$E$5:$E$14,1)="↑")*(('KRA P - Process, People &amp; Citi'!$I$5:$I$14&lt;&gt;"")*1)*IFERROR('KRA P - Process, People &amp; Citi'!$I$5:$I$14/IF('KRA P - Process, People &amp; Citi'!$D$5:$D$14=0,1,'KRA P - Process, People &amp; Citi'!$D$5:$D$14),0))+SUMPRODUCT((LEFT('KRA P - Process, People &amp; Citi'!$E$5:$E$14,1)="↓")*(('KRA P - Process, People &amp; Citi'!$I$5:$I$14&lt;&gt;"")*1)*IFERROR('KRA P - Process, People &amp; Citi'!$D$5:$D$14/IF('KRA P - Process, People &amp; Citi'!$I$5:$I$14=0,0.0001,'KRA P - Process, People &amp; Citi'!$I$5:$I$14),0)))/MAX(1,SUMPRODUCT(('KRA P - Process, People &amp; Citi'!$I$5:$I$14&lt;&gt;"")*1)),"")</f>
        <v>0</v>
      </c>
      <c r="F18" s="53">
        <f>IFERROR((SUMPRODUCT((LEFT('KRA P - Process, People &amp; Citi'!$E$5:$E$14,1)="↑")*(('KRA P - Process, People &amp; Citi'!$J$5:$J$14&lt;&gt;"")*1)*IFERROR('KRA P - Process, People &amp; Citi'!$J$5:$J$14/IF('KRA P - Process, People &amp; Citi'!$D$5:$D$14=0,1,'KRA P - Process, People &amp; Citi'!$D$5:$D$14),0))+SUMPRODUCT((LEFT('KRA P - Process, People &amp; Citi'!$E$5:$E$14,1)="↓")*(('KRA P - Process, People &amp; Citi'!$J$5:$J$14&lt;&gt;"")*1)*IFERROR('KRA P - Process, People &amp; Citi'!$D$5:$D$14/IF('KRA P - Process, People &amp; Citi'!$J$5:$J$14=0,0.0001,'KRA P - Process, People &amp; Citi'!$J$5:$J$14),0)))/MAX(1,SUMPRODUCT(('KRA P - Process, People &amp; Citi'!$J$5:$J$14&lt;&gt;"")*1)),"")</f>
        <v>0</v>
      </c>
      <c r="G18" s="53">
        <f>IFERROR((SUMPRODUCT((LEFT('KRA P - Process, People &amp; Citi'!$E$5:$E$14,1)="↑")*(('KRA P - Process, People &amp; Citi'!$K$5:$K$14&lt;&gt;"")*1)*IFERROR('KRA P - Process, People &amp; Citi'!$K$5:$K$14/IF('KRA P - Process, People &amp; Citi'!$D$5:$D$14=0,1,'KRA P - Process, People &amp; Citi'!$D$5:$D$14),0))+SUMPRODUCT((LEFT('KRA P - Process, People &amp; Citi'!$E$5:$E$14,1)="↓")*(('KRA P - Process, People &amp; Citi'!$K$5:$K$14&lt;&gt;"")*1)*IFERROR('KRA P - Process, People &amp; Citi'!$D$5:$D$14/IF('KRA P - Process, People &amp; Citi'!$K$5:$K$14=0,0.0001,'KRA P - Process, People &amp; Citi'!$K$5:$K$14),0)))/MAX(1,SUMPRODUCT(('KRA P - Process, People &amp; Citi'!$K$5:$K$14&lt;&gt;"")*1)),"")</f>
        <v>0</v>
      </c>
      <c r="H18" s="53">
        <f>IFERROR((SUMPRODUCT((LEFT('KRA P - Process, People &amp; Citi'!$E$5:$E$14,1)="↑")*(('KRA P - Process, People &amp; Citi'!$L$5:$L$14&lt;&gt;"")*1)*IFERROR('KRA P - Process, People &amp; Citi'!$L$5:$L$14/IF('KRA P - Process, People &amp; Citi'!$D$5:$D$14=0,1,'KRA P - Process, People &amp; Citi'!$D$5:$D$14),0))+SUMPRODUCT((LEFT('KRA P - Process, People &amp; Citi'!$E$5:$E$14,1)="↓")*(('KRA P - Process, People &amp; Citi'!$L$5:$L$14&lt;&gt;"")*1)*IFERROR('KRA P - Process, People &amp; Citi'!$D$5:$D$14/IF('KRA P - Process, People &amp; Citi'!$L$5:$L$14=0,0.0001,'KRA P - Process, People &amp; Citi'!$L$5:$L$14),0)))/MAX(1,SUMPRODUCT(('KRA P - Process, People &amp; Citi'!$L$5:$L$14&lt;&gt;"")*1)),"")</f>
        <v>0</v>
      </c>
      <c r="I18" s="53">
        <f>IFERROR((SUMPRODUCT((LEFT('KRA P - Process, People &amp; Citi'!$E$5:$E$14,1)="↑")*(('KRA P - Process, People &amp; Citi'!$M$5:$M$14&lt;&gt;"")*1)*IFERROR('KRA P - Process, People &amp; Citi'!$M$5:$M$14/IF('KRA P - Process, People &amp; Citi'!$D$5:$D$14=0,1,'KRA P - Process, People &amp; Citi'!$D$5:$D$14),0))+SUMPRODUCT((LEFT('KRA P - Process, People &amp; Citi'!$E$5:$E$14,1)="↓")*(('KRA P - Process, People &amp; Citi'!$M$5:$M$14&lt;&gt;"")*1)*IFERROR('KRA P - Process, People &amp; Citi'!$D$5:$D$14/IF('KRA P - Process, People &amp; Citi'!$M$5:$M$14=0,0.0001,'KRA P - Process, People &amp; Citi'!$M$5:$M$14),0)))/MAX(1,SUMPRODUCT(('KRA P - Process, People &amp; Citi'!$M$5:$M$14&lt;&gt;"")*1)),"")</f>
        <v>0</v>
      </c>
      <c r="J18" s="53">
        <f>IFERROR((SUMPRODUCT((LEFT('KRA P - Process, People &amp; Citi'!$E$5:$E$14,1)="↑")*(('KRA P - Process, People &amp; Citi'!$N$5:$N$14&lt;&gt;"")*1)*IFERROR('KRA P - Process, People &amp; Citi'!$N$5:$N$14/IF('KRA P - Process, People &amp; Citi'!$D$5:$D$14=0,1,'KRA P - Process, People &amp; Citi'!$D$5:$D$14),0))+SUMPRODUCT((LEFT('KRA P - Process, People &amp; Citi'!$E$5:$E$14,1)="↓")*(('KRA P - Process, People &amp; Citi'!$N$5:$N$14&lt;&gt;"")*1)*IFERROR('KRA P - Process, People &amp; Citi'!$D$5:$D$14/IF('KRA P - Process, People &amp; Citi'!$N$5:$N$14=0,0.0001,'KRA P - Process, People &amp; Citi'!$N$5:$N$14),0)))/MAX(1,SUMPRODUCT(('KRA P - Process, People &amp; Citi'!$N$5:$N$14&lt;&gt;"")*1)),"")</f>
        <v>0</v>
      </c>
      <c r="K18" s="53">
        <f>IFERROR((SUMPRODUCT((LEFT('KRA P - Process, People &amp; Citi'!$E$5:$E$14,1)="↑")*(('KRA P - Process, People &amp; Citi'!$O$5:$O$14&lt;&gt;"")*1)*IFERROR('KRA P - Process, People &amp; Citi'!$O$5:$O$14/IF('KRA P - Process, People &amp; Citi'!$D$5:$D$14=0,1,'KRA P - Process, People &amp; Citi'!$D$5:$D$14),0))+SUMPRODUCT((LEFT('KRA P - Process, People &amp; Citi'!$E$5:$E$14,1)="↓")*(('KRA P - Process, People &amp; Citi'!$O$5:$O$14&lt;&gt;"")*1)*IFERROR('KRA P - Process, People &amp; Citi'!$D$5:$D$14/IF('KRA P - Process, People &amp; Citi'!$O$5:$O$14=0,0.0001,'KRA P - Process, People &amp; Citi'!$O$5:$O$14),0)))/MAX(1,SUMPRODUCT(('KRA P - Process, People &amp; Citi'!$O$5:$O$14&lt;&gt;"")*1)),"")</f>
        <v>0</v>
      </c>
      <c r="L18" s="53">
        <f>IFERROR((SUMPRODUCT((LEFT('KRA P - Process, People &amp; Citi'!$E$5:$E$14,1)="↑")*(('KRA P - Process, People &amp; Citi'!$P$5:$P$14&lt;&gt;"")*1)*IFERROR('KRA P - Process, People &amp; Citi'!$P$5:$P$14/IF('KRA P - Process, People &amp; Citi'!$D$5:$D$14=0,1,'KRA P - Process, People &amp; Citi'!$D$5:$D$14),0))+SUMPRODUCT((LEFT('KRA P - Process, People &amp; Citi'!$E$5:$E$14,1)="↓")*(('KRA P - Process, People &amp; Citi'!$P$5:$P$14&lt;&gt;"")*1)*IFERROR('KRA P - Process, People &amp; Citi'!$D$5:$D$14/IF('KRA P - Process, People &amp; Citi'!$P$5:$P$14=0,0.0001,'KRA P - Process, People &amp; Citi'!$P$5:$P$14),0)))/MAX(1,SUMPRODUCT(('KRA P - Process, People &amp; Citi'!$P$5:$P$14&lt;&gt;"")*1)),"")</f>
        <v>0</v>
      </c>
      <c r="M18" s="53">
        <f>IFERROR((SUMPRODUCT((LEFT('KRA P - Process, People &amp; Citi'!$E$5:$E$14,1)="↑")*(('KRA P - Process, People &amp; Citi'!$Q$5:$Q$14&lt;&gt;"")*1)*IFERROR('KRA P - Process, People &amp; Citi'!$Q$5:$Q$14/IF('KRA P - Process, People &amp; Citi'!$D$5:$D$14=0,1,'KRA P - Process, People &amp; Citi'!$D$5:$D$14),0))+SUMPRODUCT((LEFT('KRA P - Process, People &amp; Citi'!$E$5:$E$14,1)="↓")*(('KRA P - Process, People &amp; Citi'!$Q$5:$Q$14&lt;&gt;"")*1)*IFERROR('KRA P - Process, People &amp; Citi'!$D$5:$D$14/IF('KRA P - Process, People &amp; Citi'!$Q$5:$Q$14=0,0.0001,'KRA P - Process, People &amp; Citi'!$Q$5:$Q$14),0)))/MAX(1,SUMPRODUCT(('KRA P - Process, People &amp; Citi'!$Q$5:$Q$14&lt;&gt;"")*1)),"")</f>
        <v>0</v>
      </c>
      <c r="N18" s="53">
        <f>IFERROR((SUMPRODUCT((LEFT('KRA P - Process, People &amp; Citi'!$E$5:$E$14,1)="↑")*(('KRA P - Process, People &amp; Citi'!$R$5:$R$14&lt;&gt;"")*1)*IFERROR('KRA P - Process, People &amp; Citi'!$R$5:$R$14/IF('KRA P - Process, People &amp; Citi'!$D$5:$D$14=0,1,'KRA P - Process, People &amp; Citi'!$D$5:$D$14),0))+SUMPRODUCT((LEFT('KRA P - Process, People &amp; Citi'!$E$5:$E$14,1)="↓")*(('KRA P - Process, People &amp; Citi'!$R$5:$R$14&lt;&gt;"")*1)*IFERROR('KRA P - Process, People &amp; Citi'!$D$5:$D$14/IF('KRA P - Process, People &amp; Citi'!$R$5:$R$14=0,0.0001,'KRA P - Process, People &amp; Citi'!$R$5:$R$14),0)))/MAX(1,SUMPRODUCT(('KRA P - Process, People &amp; Citi'!$R$5:$R$14&lt;&gt;"")*1)),"")</f>
        <v>0</v>
      </c>
    </row>
  </sheetData>
  <mergeCells count="2">
    <mergeCell ref="A1:N1"/>
    <mergeCell ref="A2:N2"/>
  </mergeCells>
  <conditionalFormatting sqref="C5:N16">
    <cfRule type="colorScale" priority="2">
      <colorScale>
        <cfvo type="num" val="0"/>
        <cfvo type="num" val="7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26"/>
  <sheetViews>
    <sheetView showGridLines="0" workbookViewId="0">
      <pane ySplit="4" topLeftCell="A5" activePane="bottomLeft" state="frozen"/>
      <selection pane="bottomLeft" sqref="A1:I1"/>
    </sheetView>
  </sheetViews>
  <sheetFormatPr defaultColWidth="8.6640625" defaultRowHeight="14.4"/>
  <cols>
    <col min="1" max="1" width="4" style="1" customWidth="1"/>
    <col min="2" max="2" width="12" style="1" customWidth="1"/>
    <col min="3" max="3" width="8" style="1" customWidth="1"/>
    <col min="4" max="4" width="38" style="1" customWidth="1"/>
    <col min="5" max="5" width="18" style="1" customWidth="1"/>
    <col min="6" max="7" width="36" style="1" customWidth="1"/>
    <col min="8" max="8" width="18" style="1" customWidth="1"/>
    <col min="9" max="9" width="14" style="1" customWidth="1"/>
  </cols>
  <sheetData>
    <row r="1" spans="1:9" ht="31.5" customHeight="1">
      <c r="A1" s="82" t="s">
        <v>295</v>
      </c>
      <c r="B1" s="82"/>
      <c r="C1" s="82"/>
      <c r="D1" s="82"/>
      <c r="E1" s="82"/>
      <c r="F1" s="82"/>
      <c r="G1" s="82"/>
      <c r="H1" s="82"/>
      <c r="I1" s="82"/>
    </row>
    <row r="2" spans="1:9" ht="36" customHeight="1">
      <c r="A2" s="83" t="s">
        <v>296</v>
      </c>
      <c r="B2" s="83"/>
      <c r="C2" s="83"/>
      <c r="D2" s="83"/>
      <c r="E2" s="83"/>
      <c r="F2" s="83"/>
      <c r="G2" s="83"/>
      <c r="H2" s="83"/>
      <c r="I2" s="83"/>
    </row>
    <row r="4" spans="1:9" ht="31.5" customHeight="1">
      <c r="A4" s="54" t="s">
        <v>63</v>
      </c>
      <c r="B4" s="54" t="s">
        <v>297</v>
      </c>
      <c r="C4" s="54" t="s">
        <v>64</v>
      </c>
      <c r="D4" s="54" t="s">
        <v>110</v>
      </c>
      <c r="E4" s="54" t="s">
        <v>65</v>
      </c>
      <c r="F4" s="54" t="s">
        <v>298</v>
      </c>
      <c r="G4" s="54" t="s">
        <v>299</v>
      </c>
      <c r="H4" s="54" t="s">
        <v>300</v>
      </c>
      <c r="I4" s="54" t="s">
        <v>73</v>
      </c>
    </row>
    <row r="5" spans="1:9" ht="69.75" customHeight="1">
      <c r="A5" s="18" t="s">
        <v>301</v>
      </c>
      <c r="B5" s="18" t="s">
        <v>302</v>
      </c>
      <c r="C5" s="18" t="s">
        <v>303</v>
      </c>
      <c r="D5" s="18" t="s">
        <v>135</v>
      </c>
      <c r="E5" s="18" t="s">
        <v>304</v>
      </c>
      <c r="F5" s="37" t="s">
        <v>305</v>
      </c>
      <c r="G5" s="37" t="s">
        <v>306</v>
      </c>
      <c r="H5" s="37" t="s">
        <v>307</v>
      </c>
      <c r="I5" s="55" t="s">
        <v>308</v>
      </c>
    </row>
    <row r="6" spans="1:9" ht="69.75" customHeight="1">
      <c r="A6" s="18" t="s">
        <v>309</v>
      </c>
      <c r="B6" s="18" t="s">
        <v>302</v>
      </c>
      <c r="C6" s="18" t="s">
        <v>310</v>
      </c>
      <c r="D6" s="18" t="s">
        <v>311</v>
      </c>
      <c r="E6" s="18" t="s">
        <v>312</v>
      </c>
      <c r="F6" s="37" t="s">
        <v>313</v>
      </c>
      <c r="G6" s="37" t="s">
        <v>314</v>
      </c>
      <c r="H6" s="37" t="s">
        <v>315</v>
      </c>
      <c r="I6" s="55" t="s">
        <v>308</v>
      </c>
    </row>
    <row r="7" spans="1:9" ht="60" customHeight="1">
      <c r="A7" s="18"/>
      <c r="B7" s="18"/>
      <c r="C7" s="18"/>
      <c r="D7" s="18"/>
      <c r="E7" s="37"/>
      <c r="F7" s="37"/>
      <c r="G7" s="37"/>
      <c r="H7" s="37"/>
      <c r="I7" s="37"/>
    </row>
    <row r="8" spans="1:9" ht="60" customHeight="1">
      <c r="A8" s="18"/>
      <c r="B8" s="18"/>
      <c r="C8" s="18"/>
      <c r="D8" s="18"/>
      <c r="E8" s="37"/>
      <c r="F8" s="37"/>
      <c r="G8" s="37"/>
      <c r="H8" s="37"/>
      <c r="I8" s="37"/>
    </row>
    <row r="9" spans="1:9" ht="60" customHeight="1">
      <c r="A9" s="18"/>
      <c r="B9" s="18"/>
      <c r="C9" s="18"/>
      <c r="D9" s="18"/>
      <c r="E9" s="37"/>
      <c r="F9" s="37"/>
      <c r="G9" s="37"/>
      <c r="H9" s="37"/>
      <c r="I9" s="37"/>
    </row>
    <row r="10" spans="1:9" ht="60" customHeight="1">
      <c r="A10" s="18"/>
      <c r="B10" s="18"/>
      <c r="C10" s="18"/>
      <c r="D10" s="18"/>
      <c r="E10" s="37"/>
      <c r="F10" s="37"/>
      <c r="G10" s="37"/>
      <c r="H10" s="37"/>
      <c r="I10" s="37"/>
    </row>
    <row r="11" spans="1:9" ht="60" customHeight="1">
      <c r="A11" s="18"/>
      <c r="B11" s="18"/>
      <c r="C11" s="18"/>
      <c r="D11" s="18"/>
      <c r="E11" s="37"/>
      <c r="F11" s="37"/>
      <c r="G11" s="37"/>
      <c r="H11" s="37"/>
      <c r="I11" s="37"/>
    </row>
    <row r="12" spans="1:9" ht="60" customHeight="1">
      <c r="A12" s="18"/>
      <c r="B12" s="18"/>
      <c r="C12" s="18"/>
      <c r="D12" s="18"/>
      <c r="E12" s="37"/>
      <c r="F12" s="37"/>
      <c r="G12" s="37"/>
      <c r="H12" s="37"/>
      <c r="I12" s="37"/>
    </row>
    <row r="13" spans="1:9" ht="60" customHeight="1">
      <c r="A13" s="18"/>
      <c r="B13" s="18"/>
      <c r="C13" s="18"/>
      <c r="D13" s="18"/>
      <c r="E13" s="37"/>
      <c r="F13" s="37"/>
      <c r="G13" s="37"/>
      <c r="H13" s="37"/>
      <c r="I13" s="37"/>
    </row>
    <row r="14" spans="1:9" ht="60" customHeight="1">
      <c r="A14" s="18"/>
      <c r="B14" s="18"/>
      <c r="C14" s="18"/>
      <c r="D14" s="18"/>
      <c r="E14" s="37"/>
      <c r="F14" s="37"/>
      <c r="G14" s="37"/>
      <c r="H14" s="37"/>
      <c r="I14" s="37"/>
    </row>
    <row r="15" spans="1:9" ht="60" customHeight="1">
      <c r="A15" s="18"/>
      <c r="B15" s="18"/>
      <c r="C15" s="18"/>
      <c r="D15" s="18"/>
      <c r="E15" s="37"/>
      <c r="F15" s="37"/>
      <c r="G15" s="37"/>
      <c r="H15" s="37"/>
      <c r="I15" s="37"/>
    </row>
    <row r="16" spans="1:9" ht="60" customHeight="1">
      <c r="A16" s="18"/>
      <c r="B16" s="18"/>
      <c r="C16" s="18"/>
      <c r="D16" s="18"/>
      <c r="E16" s="37"/>
      <c r="F16" s="37"/>
      <c r="G16" s="37"/>
      <c r="H16" s="37"/>
      <c r="I16" s="37"/>
    </row>
    <row r="17" spans="1:9" ht="60" customHeight="1">
      <c r="A17" s="18"/>
      <c r="B17" s="18"/>
      <c r="C17" s="18"/>
      <c r="D17" s="18"/>
      <c r="E17" s="37"/>
      <c r="F17" s="37"/>
      <c r="G17" s="37"/>
      <c r="H17" s="37"/>
      <c r="I17" s="37"/>
    </row>
    <row r="18" spans="1:9" ht="60" customHeight="1">
      <c r="A18" s="18"/>
      <c r="B18" s="18"/>
      <c r="C18" s="18"/>
      <c r="D18" s="18"/>
      <c r="E18" s="37"/>
      <c r="F18" s="37"/>
      <c r="G18" s="37"/>
      <c r="H18" s="37"/>
      <c r="I18" s="37"/>
    </row>
    <row r="19" spans="1:9" ht="60" customHeight="1">
      <c r="A19" s="18"/>
      <c r="B19" s="18"/>
      <c r="C19" s="18"/>
      <c r="D19" s="18"/>
      <c r="E19" s="37"/>
      <c r="F19" s="37"/>
      <c r="G19" s="37"/>
      <c r="H19" s="37"/>
      <c r="I19" s="37"/>
    </row>
    <row r="20" spans="1:9" ht="60" customHeight="1">
      <c r="A20" s="18"/>
      <c r="B20" s="18"/>
      <c r="C20" s="18"/>
      <c r="D20" s="18"/>
      <c r="E20" s="37"/>
      <c r="F20" s="37"/>
      <c r="G20" s="37"/>
      <c r="H20" s="37"/>
      <c r="I20" s="37"/>
    </row>
    <row r="21" spans="1:9" ht="60" customHeight="1">
      <c r="A21" s="18"/>
      <c r="B21" s="18"/>
      <c r="C21" s="18"/>
      <c r="D21" s="18"/>
      <c r="E21" s="37"/>
      <c r="F21" s="37"/>
      <c r="G21" s="37"/>
      <c r="H21" s="37"/>
      <c r="I21" s="37"/>
    </row>
    <row r="22" spans="1:9" ht="60" customHeight="1">
      <c r="A22" s="18"/>
      <c r="B22" s="18"/>
      <c r="C22" s="18"/>
      <c r="D22" s="18"/>
      <c r="E22" s="37"/>
      <c r="F22" s="37"/>
      <c r="G22" s="37"/>
      <c r="H22" s="37"/>
      <c r="I22" s="37"/>
    </row>
    <row r="23" spans="1:9" ht="60" customHeight="1">
      <c r="A23" s="18"/>
      <c r="B23" s="18"/>
      <c r="C23" s="18"/>
      <c r="D23" s="18"/>
      <c r="E23" s="37"/>
      <c r="F23" s="37"/>
      <c r="G23" s="37"/>
      <c r="H23" s="37"/>
      <c r="I23" s="37"/>
    </row>
    <row r="24" spans="1:9" ht="60" customHeight="1">
      <c r="A24" s="18"/>
      <c r="B24" s="18"/>
      <c r="C24" s="18"/>
      <c r="D24" s="18"/>
      <c r="E24" s="37"/>
      <c r="F24" s="37"/>
      <c r="G24" s="37"/>
      <c r="H24" s="37"/>
      <c r="I24" s="37"/>
    </row>
    <row r="25" spans="1:9" ht="60" customHeight="1">
      <c r="A25" s="18"/>
      <c r="B25" s="18"/>
      <c r="C25" s="18"/>
      <c r="D25" s="18"/>
      <c r="E25" s="37"/>
      <c r="F25" s="37"/>
      <c r="G25" s="37"/>
      <c r="H25" s="37"/>
      <c r="I25" s="37"/>
    </row>
    <row r="26" spans="1:9" ht="60" customHeight="1">
      <c r="A26" s="18"/>
      <c r="B26" s="18"/>
      <c r="C26" s="18"/>
      <c r="D26" s="18"/>
      <c r="E26" s="37"/>
      <c r="F26" s="37"/>
      <c r="G26" s="37"/>
      <c r="H26" s="37"/>
      <c r="I26" s="37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pane ySplit="4" topLeftCell="A5" activePane="bottomLeft" state="frozen"/>
      <selection pane="bottomLeft" sqref="A1:F1"/>
    </sheetView>
  </sheetViews>
  <sheetFormatPr defaultColWidth="8.6640625" defaultRowHeight="14.4"/>
  <cols>
    <col min="1" max="1" width="40" style="1" customWidth="1"/>
    <col min="2" max="2" width="32" style="1" customWidth="1"/>
    <col min="3" max="3" width="24" style="1" customWidth="1"/>
    <col min="4" max="5" width="16" style="1" customWidth="1"/>
    <col min="6" max="6" width="30" style="1" customWidth="1"/>
  </cols>
  <sheetData>
    <row r="1" spans="1:6" ht="31.5" customHeight="1">
      <c r="A1" s="81" t="s">
        <v>316</v>
      </c>
      <c r="B1" s="81"/>
      <c r="C1" s="81"/>
      <c r="D1" s="81"/>
      <c r="E1" s="81"/>
      <c r="F1" s="81"/>
    </row>
    <row r="2" spans="1:6" ht="15" customHeight="1">
      <c r="A2" s="64" t="s">
        <v>317</v>
      </c>
      <c r="B2" s="64"/>
      <c r="C2" s="64"/>
      <c r="D2" s="64"/>
      <c r="E2" s="64"/>
      <c r="F2" s="64"/>
    </row>
    <row r="4" spans="1:6" ht="31.5" customHeight="1">
      <c r="A4" s="14" t="s">
        <v>64</v>
      </c>
      <c r="B4" s="14" t="s">
        <v>318</v>
      </c>
      <c r="C4" s="14" t="s">
        <v>319</v>
      </c>
      <c r="D4" s="14" t="s">
        <v>320</v>
      </c>
      <c r="E4" s="14" t="s">
        <v>321</v>
      </c>
      <c r="F4" s="14" t="s">
        <v>322</v>
      </c>
    </row>
    <row r="5" spans="1:6" ht="24" customHeight="1">
      <c r="A5" s="16" t="s">
        <v>77</v>
      </c>
      <c r="B5" s="17" t="s">
        <v>78</v>
      </c>
      <c r="C5" s="56"/>
      <c r="D5" s="56"/>
      <c r="E5" s="56"/>
      <c r="F5" s="56"/>
    </row>
    <row r="6" spans="1:6" ht="24" customHeight="1">
      <c r="A6" s="16" t="s">
        <v>80</v>
      </c>
      <c r="B6" s="17" t="s">
        <v>81</v>
      </c>
      <c r="C6" s="56"/>
      <c r="D6" s="56"/>
      <c r="E6" s="56"/>
      <c r="F6" s="56"/>
    </row>
    <row r="7" spans="1:6" ht="24" customHeight="1">
      <c r="A7" s="16" t="s">
        <v>82</v>
      </c>
      <c r="B7" s="17" t="s">
        <v>83</v>
      </c>
      <c r="C7" s="56"/>
      <c r="D7" s="56"/>
      <c r="E7" s="56"/>
      <c r="F7" s="56"/>
    </row>
    <row r="8" spans="1:6" ht="24" customHeight="1">
      <c r="A8" s="16" t="s">
        <v>84</v>
      </c>
      <c r="B8" s="17" t="s">
        <v>85</v>
      </c>
      <c r="C8" s="56"/>
      <c r="D8" s="56"/>
      <c r="E8" s="56"/>
      <c r="F8" s="56"/>
    </row>
    <row r="9" spans="1:6" ht="24" customHeight="1">
      <c r="A9" s="16" t="s">
        <v>86</v>
      </c>
      <c r="B9" s="17" t="s">
        <v>87</v>
      </c>
      <c r="C9" s="56"/>
      <c r="D9" s="56"/>
      <c r="E9" s="56"/>
      <c r="F9" s="56"/>
    </row>
    <row r="10" spans="1:6" ht="24" customHeight="1">
      <c r="A10" s="16" t="s">
        <v>88</v>
      </c>
      <c r="B10" s="17" t="s">
        <v>89</v>
      </c>
      <c r="C10" s="56"/>
      <c r="D10" s="56"/>
      <c r="E10" s="56"/>
      <c r="F10" s="56"/>
    </row>
    <row r="11" spans="1:6" ht="24" customHeight="1">
      <c r="A11" s="16" t="s">
        <v>90</v>
      </c>
      <c r="B11" s="17" t="s">
        <v>91</v>
      </c>
      <c r="C11" s="56"/>
      <c r="D11" s="56"/>
      <c r="E11" s="56"/>
      <c r="F11" s="56"/>
    </row>
    <row r="12" spans="1:6" ht="24" customHeight="1">
      <c r="A12" s="16" t="s">
        <v>92</v>
      </c>
      <c r="B12" s="17" t="s">
        <v>93</v>
      </c>
      <c r="C12" s="56"/>
      <c r="D12" s="56"/>
      <c r="E12" s="56"/>
      <c r="F12" s="56"/>
    </row>
    <row r="13" spans="1:6" ht="24" customHeight="1">
      <c r="A13" s="16" t="s">
        <v>94</v>
      </c>
      <c r="B13" s="17" t="s">
        <v>95</v>
      </c>
      <c r="C13" s="56"/>
      <c r="D13" s="56"/>
      <c r="E13" s="56"/>
      <c r="F13" s="56"/>
    </row>
    <row r="14" spans="1:6" ht="24" customHeight="1">
      <c r="A14" s="16" t="s">
        <v>96</v>
      </c>
      <c r="B14" s="17" t="s">
        <v>97</v>
      </c>
      <c r="C14" s="56"/>
      <c r="D14" s="56"/>
      <c r="E14" s="56"/>
      <c r="F14" s="56"/>
    </row>
    <row r="15" spans="1:6" ht="24" customHeight="1">
      <c r="A15" s="16" t="s">
        <v>98</v>
      </c>
      <c r="B15" s="17" t="s">
        <v>99</v>
      </c>
      <c r="C15" s="56"/>
      <c r="D15" s="56"/>
      <c r="E15" s="56"/>
      <c r="F15" s="56"/>
    </row>
    <row r="16" spans="1:6" ht="24" customHeight="1">
      <c r="A16" s="16" t="s">
        <v>100</v>
      </c>
      <c r="B16" s="17" t="s">
        <v>101</v>
      </c>
      <c r="C16" s="56"/>
      <c r="D16" s="56"/>
      <c r="E16" s="56"/>
      <c r="F16" s="56"/>
    </row>
    <row r="17" spans="1:6" ht="15" customHeight="1">
      <c r="A17" s="16" t="s">
        <v>102</v>
      </c>
      <c r="B17" s="17" t="s">
        <v>103</v>
      </c>
      <c r="C17" s="56"/>
      <c r="D17" s="56"/>
      <c r="E17" s="56"/>
      <c r="F17" s="56"/>
    </row>
    <row r="18" spans="1:6" ht="15" customHeight="1">
      <c r="A18" s="16" t="s">
        <v>104</v>
      </c>
      <c r="B18" s="17" t="s">
        <v>105</v>
      </c>
      <c r="C18" s="56"/>
      <c r="D18" s="56"/>
      <c r="E18" s="56"/>
      <c r="F18" s="56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 &amp; Instructions</vt:lpstr>
      <vt:lpstr>Dashboard</vt:lpstr>
      <vt:lpstr>KRA H - Health Service Deliver</vt:lpstr>
      <vt:lpstr>KRA E - Education Attendance &amp;</vt:lpstr>
      <vt:lpstr>KRA A - Anganwadi &amp; ECCE</vt:lpstr>
      <vt:lpstr>KRA D - Drug Demand-Reduction </vt:lpstr>
      <vt:lpstr>KRA S - Sanitation, Cleanlines</vt:lpstr>
      <vt:lpstr>KRA I - Infrastructure, Roads </vt:lpstr>
      <vt:lpstr>KRA W - Power</vt:lpstr>
      <vt:lpstr>KRA L - Law &amp; Order, Public Sa</vt:lpstr>
      <vt:lpstr>KRA G - Agriculture, Horticult</vt:lpstr>
      <vt:lpstr>KRA C - Convergence &amp; Saturati</vt:lpstr>
      <vt:lpstr>KRA R - Revenue, Land &amp; Citize</vt:lpstr>
      <vt:lpstr>KRA J - Jan Suvidha Branch</vt:lpstr>
      <vt:lpstr>KRA M - Disaster Management &amp; </vt:lpstr>
      <vt:lpstr>KRA P - Process, People &amp; Citi</vt:lpstr>
      <vt:lpstr>Trends</vt:lpstr>
      <vt:lpstr>Action Tracker</vt:lpstr>
      <vt:lpstr>Officer Directory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DIO Tirap</cp:lastModifiedBy>
  <cp:revision>0</cp:revision>
  <dcterms:created xsi:type="dcterms:W3CDTF">2026-04-30T06:03:08Z</dcterms:created>
  <dcterms:modified xsi:type="dcterms:W3CDTF">2026-05-18T19:52:38Z</dcterms:modified>
  <dc:language>en-US</dc:language>
</cp:coreProperties>
</file>